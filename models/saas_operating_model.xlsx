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Scenarios" sheetId="1" state="visible" r:id="rId1"/>
    <sheet name="Cohort_ARR_Build" sheetId="2" state="visible" r:id="rId2"/>
    <sheet name="Headcount_Opex_Build" sheetId="3" state="visible" r:id="rId3"/>
    <sheet name="Operating_Model" sheetId="4" state="visible" r:id="rId4"/>
    <sheet name="BvA_Variance_Backtest" sheetId="5" state="visible" r:id="rId5"/>
    <sheet name="Unit_Economics_ROI" sheetId="6" state="visible" r:id="rId6"/>
    <sheet name="Checks" sheetId="7" state="visible" r:id="rId7"/>
    <sheet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"/>
    <numFmt numFmtId="166" formatCode="0.00x"/>
    <numFmt numFmtId="167" formatCode="$#,##0.0,,&quot;M&quot;;[Red]-$#,##0.0,,&quot;M&quot;"/>
    <numFmt numFmtId="168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0000FF"/>
    </font>
    <font>
      <i val="1"/>
      <color rgb="00808080"/>
    </font>
    <font>
      <color rgb="000000FF"/>
    </font>
    <font/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164" fontId="5" fillId="0" borderId="0" pivotButton="0" quotePrefix="0" xfId="0"/>
    <xf numFmtId="164" fontId="2" fillId="0" borderId="0" pivotButton="0" quotePrefix="0" xfId="0"/>
    <xf numFmtId="0" fontId="0" fillId="0" borderId="0" applyAlignment="1" pivotButton="0" quotePrefix="0" xfId="0">
      <alignment/>
    </xf>
    <xf numFmtId="3" fontId="5" fillId="0" borderId="0" pivotButton="0" quotePrefix="0" xfId="0"/>
    <xf numFmtId="3" fontId="2" fillId="0" borderId="0" pivotButton="0" quotePrefix="0" xfId="0"/>
    <xf numFmtId="165" fontId="5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9" fontId="5" fillId="0" borderId="0" pivotButton="0" quotePrefix="0" xfId="0"/>
    <xf numFmtId="9" fontId="2" fillId="0" borderId="0" pivotButton="0" quotePrefix="0" xfId="0"/>
    <xf numFmtId="1" fontId="5" fillId="0" borderId="0" pivotButton="0" quotePrefix="0" xfId="0"/>
    <xf numFmtId="1" fontId="2" fillId="0" borderId="0" pivotButton="0" quotePrefix="0" xfId="0"/>
    <xf numFmtId="2" fontId="5" fillId="0" borderId="0" pivotButton="0" quotePrefix="0" xfId="0"/>
    <xf numFmtId="2" fontId="2" fillId="0" borderId="0" pivotButton="0" quotePrefix="0" xfId="0"/>
    <xf numFmtId="0" fontId="2" fillId="4" borderId="0" pivotButton="0" quotePrefix="0" xfId="0"/>
    <xf numFmtId="0" fontId="5" fillId="4" borderId="0" pivotButton="0" quotePrefix="0" xfId="0"/>
    <xf numFmtId="0" fontId="6" fillId="0" borderId="0" pivotButton="0" quotePrefix="0" xfId="0"/>
    <xf numFmtId="3" fontId="6" fillId="4" borderId="0" pivotButton="0" quotePrefix="0" xfId="0"/>
    <xf numFmtId="167" fontId="6" fillId="0" borderId="0" pivotButton="0" quotePrefix="0" xfId="0"/>
    <xf numFmtId="167" fontId="6" fillId="4" borderId="0" pivotButton="0" quotePrefix="0" xfId="0"/>
    <xf numFmtId="167" fontId="2" fillId="0" borderId="0" pivotButton="0" quotePrefix="0" xfId="0"/>
    <xf numFmtId="167" fontId="2" fillId="4" borderId="0" pivotButton="0" quotePrefix="0" xfId="0"/>
    <xf numFmtId="164" fontId="6" fillId="4" borderId="0" pivotButton="0" quotePrefix="0" xfId="0"/>
    <xf numFmtId="167" fontId="5" fillId="0" borderId="0" pivotButton="0" quotePrefix="0" xfId="0"/>
    <xf numFmtId="3" fontId="2" fillId="4" borderId="0" pivotButton="0" quotePrefix="0" xfId="0"/>
    <xf numFmtId="49" fontId="5" fillId="0" borderId="0" pivotButton="0" quotePrefix="0" xfId="0"/>
    <xf numFmtId="165" fontId="6" fillId="0" borderId="0" pivotButton="0" quotePrefix="0" xfId="0"/>
    <xf numFmtId="165" fontId="6" fillId="4" borderId="0" pivotButton="0" quotePrefix="0" xfId="0"/>
    <xf numFmtId="164" fontId="6" fillId="0" borderId="0" pivotButton="0" quotePrefix="0" xfId="0"/>
    <xf numFmtId="167" fontId="5" fillId="4" borderId="0" pivotButton="0" quotePrefix="0" xfId="0"/>
    <xf numFmtId="3" fontId="6" fillId="0" borderId="0" pivotButton="0" quotePrefix="0" xfId="0"/>
    <xf numFmtId="3" fontId="5" fillId="4" borderId="0" pivotButton="0" quotePrefix="0" xfId="0"/>
    <xf numFmtId="164" fontId="5" fillId="4" borderId="0" pivotButton="0" quotePrefix="0" xfId="0"/>
    <xf numFmtId="49" fontId="5" fillId="4" borderId="0" pivotButton="0" quotePrefix="0" xfId="0"/>
    <xf numFmtId="166" fontId="6" fillId="4" borderId="0" pivotButton="0" quotePrefix="0" xfId="0"/>
    <xf numFmtId="10" fontId="6" fillId="4" borderId="0" pivotButton="0" quotePrefix="0" xfId="0"/>
    <xf numFmtId="164" fontId="2" fillId="4" borderId="0" pivotButton="0" quotePrefix="0" xfId="0"/>
    <xf numFmtId="1" fontId="6" fillId="4" borderId="0" pivotButton="0" quotePrefix="0" xfId="0"/>
    <xf numFmtId="168" fontId="6" fillId="0" borderId="0" pivotButton="0" quotePrefix="0" xfId="0"/>
    <xf numFmtId="168" fontId="6" fillId="4" borderId="0" pivotButton="0" quotePrefix="0" xfId="0"/>
    <xf numFmtId="2" fontId="6" fillId="0" borderId="0" pivotButton="0" quotePrefix="0" xfId="0"/>
    <xf numFmtId="2" fontId="6" fillId="4" borderId="0" pivotButton="0" quotePrefix="0" xfId="0"/>
    <xf numFmtId="10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24" customWidth="1" min="7" max="7"/>
    <col width="110" customWidth="1" min="8" max="8"/>
  </cols>
  <sheetData>
    <row r="1">
      <c r="A1" s="1" t="inlineStr">
        <is>
          <t>Inputs and scenarios</t>
        </is>
      </c>
    </row>
    <row r="3">
      <c r="A3" s="2" t="inlineStr">
        <is>
          <t>Scenario</t>
        </is>
      </c>
      <c r="C3" s="3" t="inlineStr">
        <is>
          <t>Base</t>
        </is>
      </c>
      <c r="E3" s="4" t="inlineStr">
        <is>
          <t>Point-in-time cutoff: 2025-08-27. Every driver uses only information filed by then.</t>
        </is>
      </c>
    </row>
    <row r="5">
      <c r="A5" t="inlineStr">
        <is>
          <t>days_year</t>
        </is>
      </c>
      <c r="B5" t="inlineStr">
        <is>
          <t>Days per year (annualises a quarter)</t>
        </is>
      </c>
      <c r="C5" s="5" t="n">
        <v>365</v>
      </c>
    </row>
    <row r="6">
      <c r="A6" t="inlineStr">
        <is>
          <t>q_per_year</t>
        </is>
      </c>
      <c r="B6" t="inlineStr">
        <is>
          <t>Quarters per year</t>
        </is>
      </c>
      <c r="C6" s="5" t="n">
        <v>4</v>
      </c>
    </row>
    <row r="7">
      <c r="A7" t="inlineStr">
        <is>
          <t>months_year</t>
        </is>
      </c>
      <c r="B7" t="inlineStr">
        <is>
          <t>Months per year</t>
        </is>
      </c>
      <c r="C7" s="5" t="n">
        <v>12</v>
      </c>
    </row>
    <row r="8">
      <c r="A8" t="inlineStr">
        <is>
          <t>tolerance</t>
        </is>
      </c>
      <c r="B8" t="inlineStr">
        <is>
          <t>Check tolerance, dollars</t>
        </is>
      </c>
      <c r="C8" s="5" t="n">
        <v>0.01</v>
      </c>
    </row>
    <row r="10">
      <c r="A10" s="6" t="inlineStr">
        <is>
          <t>Driver</t>
        </is>
      </c>
      <c r="B10" s="6" t="inlineStr">
        <is>
          <t>Description</t>
        </is>
      </c>
      <c r="C10" s="6" t="inlineStr">
        <is>
          <t>Base</t>
        </is>
      </c>
      <c r="D10" s="6" t="inlineStr">
        <is>
          <t>Upside</t>
        </is>
      </c>
      <c r="E10" s="6" t="inlineStr">
        <is>
          <t>Downside</t>
        </is>
      </c>
      <c r="F10" s="6" t="inlineStr">
        <is>
          <t>Selected</t>
        </is>
      </c>
      <c r="G10" s="6" t="inlineStr">
        <is>
          <t>Tag</t>
        </is>
      </c>
      <c r="H10" s="6" t="inlineStr">
        <is>
          <t>Derivation</t>
        </is>
      </c>
    </row>
    <row r="11">
      <c r="A11" t="inlineStr">
        <is>
          <t>nrr</t>
        </is>
      </c>
      <c r="B11" t="inlineStr">
        <is>
          <t>Net ARR expansion rate (annual)</t>
        </is>
      </c>
      <c r="C11" s="7" t="n">
        <v>1.19</v>
      </c>
      <c r="D11" s="7" t="n">
        <v>1.21</v>
      </c>
      <c r="E11" s="7" t="n">
        <v>1.17</v>
      </c>
      <c r="F11" s="8">
        <f>INDEX($C11:$E11,MATCH($C$3,$C$10:$E$10,0))</f>
        <v/>
      </c>
      <c r="G11" t="inlineStr">
        <is>
          <t>[Sourced - SEC Filing]</t>
        </is>
      </c>
      <c r="H11" s="9" t="inlineStr">
        <is>
          <t>Disclosed 119% at T0 (Q2 FY26 10-Q). Upside/Downside +/-2pp [Forecast Assumption]: FY25-FY26 disclosures ranged 118-120%.</t>
        </is>
      </c>
    </row>
    <row r="12">
      <c r="A12" t="inlineStr">
        <is>
          <t>new_logos</t>
        </is>
      </c>
      <c r="B12" t="inlineStr">
        <is>
          <t>Gross new logos per quarter</t>
        </is>
      </c>
      <c r="C12" s="10" t="n">
        <v>4180.375000000002</v>
      </c>
      <c r="D12" s="10" t="n">
        <v>4798.5</v>
      </c>
      <c r="E12" s="10" t="n">
        <v>3674.500000000007</v>
      </c>
      <c r="F12" s="11">
        <f>INDEX($C12:$E12,MATCH($C$3,$C$10:$E$10,0))</f>
        <v/>
      </c>
      <c r="G12" t="inlineStr">
        <is>
          <t>[Historical Derived]</t>
        </is>
      </c>
      <c r="H12" s="9" t="inlineStr">
        <is>
          <t>Calibrated cohort ledger, trailing 4 quarters to T0: mean (Base), max (Upside), min (Downside). Depends on the [Illustrative] churn rate below.</t>
        </is>
      </c>
    </row>
    <row r="13">
      <c r="A13" t="inlineStr">
        <is>
          <t>arr_per_new_logo</t>
        </is>
      </c>
      <c r="B13" t="inlineStr">
        <is>
          <t>New-cohort ARR per new logo ($)</t>
        </is>
      </c>
      <c r="C13" s="12" t="n">
        <v>5102.97077667585</v>
      </c>
      <c r="D13" s="12" t="n">
        <v>6378.713470844813</v>
      </c>
      <c r="E13" s="12" t="n">
        <v>3827.228082506887</v>
      </c>
      <c r="F13" s="13">
        <f>INDEX($C13:$E13,MATCH($C$3,$C$10:$E$10,0))</f>
        <v/>
      </c>
      <c r="G13" t="inlineStr">
        <is>
          <t>[Historical Derived]</t>
        </is>
      </c>
      <c r="H13" s="9" t="inlineStr">
        <is>
          <t>Ledger new-cohort ARR / new logos, trailing 4 quarters to T0 (includes Q1 FY26, near zero). Upside/Downside +/-25% [Forecast Assumption].</t>
        </is>
      </c>
    </row>
    <row r="14">
      <c r="A14" t="inlineStr">
        <is>
          <t>churn_q</t>
        </is>
      </c>
      <c r="B14" t="inlineStr">
        <is>
          <t>Gross logo churn per quarter</t>
        </is>
      </c>
      <c r="C14" s="7" t="n">
        <v>0.035</v>
      </c>
      <c r="D14" s="7" t="n">
        <v>0.035</v>
      </c>
      <c r="E14" s="7" t="n">
        <v>0.035</v>
      </c>
      <c r="F14" s="8">
        <f>INDEX($C14:$E14,MATCH($C$3,$C$10:$E$10,0))</f>
        <v/>
      </c>
      <c r="G14" t="inlineStr">
        <is>
          <t>[Illustrative]</t>
        </is>
      </c>
      <c r="H14" s="9" t="inlineStr">
        <is>
          <t>Not disclosed. Same rate as the calibrated cohort ledger; affects logos, not ARR.</t>
        </is>
      </c>
    </row>
    <row r="15">
      <c r="A15" t="inlineStr">
        <is>
          <t>ea_yoy</t>
        </is>
      </c>
      <c r="B15" t="inlineStr">
        <is>
          <t>Other subscription (EA) revenue growth, YoY</t>
        </is>
      </c>
      <c r="C15" s="7" t="n">
        <v>0.09872496588930879</v>
      </c>
      <c r="D15" s="7" t="n">
        <v>0.1487249658893088</v>
      </c>
      <c r="E15" s="7" t="n">
        <v>0.04872496588930879</v>
      </c>
      <c r="F15" s="8">
        <f>INDEX($C15:$E15,MATCH($C$3,$C$10:$E$10,0))</f>
        <v/>
      </c>
      <c r="G15" t="inlineStr">
        <is>
          <t>[Historical Derived]</t>
        </is>
      </c>
      <c r="H15" s="9" t="inlineStr">
        <is>
          <t>Trailing-12-month EA revenue growth at T0; applied to the same quarter a year earlier, which keeps the seasonality of upfront term-license revenue. Upside/Downside +/-5pp [Forecast Assumption].</t>
        </is>
      </c>
    </row>
    <row r="16">
      <c r="A16" t="inlineStr">
        <is>
          <t>svc_yoy</t>
        </is>
      </c>
      <c r="B16" t="inlineStr">
        <is>
          <t>Services revenue growth, YoY</t>
        </is>
      </c>
      <c r="C16" s="7" t="n">
        <v>0.2801495569017274</v>
      </c>
      <c r="D16" s="7" t="n">
        <v>0.3301495569017274</v>
      </c>
      <c r="E16" s="7" t="n">
        <v>0.2301495569017274</v>
      </c>
      <c r="F16" s="8">
        <f>INDEX($C16:$E16,MATCH($C$3,$C$10:$E$10,0))</f>
        <v/>
      </c>
      <c r="G16" t="inlineStr">
        <is>
          <t>[Historical Derived]</t>
        </is>
      </c>
      <c r="H16" s="9" t="inlineStr">
        <is>
          <t>Trailing-4-quarter growth vs the prior four quarters. +/-5pp band.</t>
        </is>
      </c>
    </row>
    <row r="17">
      <c r="A17" t="inlineStr">
        <is>
          <t>sub_gm</t>
        </is>
      </c>
      <c r="B17" t="inlineStr">
        <is>
          <t>Subscription gross margin (GAAP)</t>
        </is>
      </c>
      <c r="C17" s="7" t="n">
        <v>0.7655489845470809</v>
      </c>
      <c r="D17" s="7" t="n">
        <v>0.7755489845470809</v>
      </c>
      <c r="E17" s="7" t="n">
        <v>0.7555489845470809</v>
      </c>
      <c r="F17" s="8">
        <f>INDEX($C17:$E17,MATCH($C$3,$C$10:$E$10,0))</f>
        <v/>
      </c>
      <c r="G17" t="inlineStr">
        <is>
          <t>[Historical Derived]</t>
        </is>
      </c>
      <c r="H17" s="9" t="inlineStr">
        <is>
          <t>Trailing 4 quarters to T0. +/-1pp band.</t>
        </is>
      </c>
    </row>
    <row r="18">
      <c r="A18" t="inlineStr">
        <is>
          <t>svc_gm</t>
        </is>
      </c>
      <c r="B18" t="inlineStr">
        <is>
          <t>Services gross margin (GAAP)</t>
        </is>
      </c>
      <c r="C18" s="7" t="n">
        <v>-0.5509857335430239</v>
      </c>
      <c r="D18" s="7" t="n">
        <v>-0.5509857335430239</v>
      </c>
      <c r="E18" s="7" t="n">
        <v>-0.5509857335430239</v>
      </c>
      <c r="F18" s="8">
        <f>INDEX($C18:$E18,MATCH($C$3,$C$10:$E$10,0))</f>
        <v/>
      </c>
      <c r="G18" t="inlineStr">
        <is>
          <t>[Historical Derived]</t>
        </is>
      </c>
      <c r="H18" s="9" t="inlineStr">
        <is>
          <t>Trailing 4 quarters to T0 (negative: services are priced to drive subscription).</t>
        </is>
      </c>
    </row>
    <row r="19">
      <c r="A19" t="inlineStr">
        <is>
          <t>net_hires_q</t>
        </is>
      </c>
      <c r="B19" t="inlineStr">
        <is>
          <t>Net hires per quarter</t>
        </is>
      </c>
      <c r="C19" s="10" t="n">
        <v>130.25</v>
      </c>
      <c r="D19" s="10" t="n">
        <v>130.25</v>
      </c>
      <c r="E19" s="10" t="n">
        <v>130.25</v>
      </c>
      <c r="F19" s="11">
        <f>INDEX($C19:$E19,MATCH($C$3,$C$10:$E$10,0))</f>
        <v/>
      </c>
      <c r="G19" t="inlineStr">
        <is>
          <t>[Historical Derived]</t>
        </is>
      </c>
      <c r="H19" s="9" t="inlineStr">
        <is>
          <t>Quarterly pace over the 4 quarters to T0, from headcount interpolated between 10-K year-end counts and extended past January 2025 at the FY25 pace [Estimated].</t>
        </is>
      </c>
    </row>
    <row r="20">
      <c r="A20" t="inlineStr">
        <is>
          <t>amort_q</t>
        </is>
      </c>
      <c r="B20" t="inlineStr">
        <is>
          <t>Amortization of intangibles per quarter ($)</t>
        </is>
      </c>
      <c r="C20" s="12" t="n">
        <v>3800000</v>
      </c>
      <c r="D20" s="12" t="n">
        <v>3800000</v>
      </c>
      <c r="E20" s="12" t="n">
        <v>3800000</v>
      </c>
      <c r="F20" s="13">
        <f>INDEX($C20:$E20,MATCH($C$3,$C$10:$E$10,0))</f>
        <v/>
      </c>
      <c r="G20" t="inlineStr">
        <is>
          <t>[Historical Derived]</t>
        </is>
      </c>
      <c r="H20" s="9" t="inlineStr">
        <is>
          <t>Held at the T0 quarter's level.</t>
        </is>
      </c>
    </row>
    <row r="21">
      <c r="A21" t="inlineStr">
        <is>
          <t>cph_growth_rnd</t>
        </is>
      </c>
      <c r="B21" t="inlineStr">
        <is>
          <t>R&amp;D: non-GAAP spend per employee, growth per quarter</t>
        </is>
      </c>
      <c r="C21" s="7" t="n">
        <v>0.008682210814688229</v>
      </c>
      <c r="D21" s="7" t="n">
        <v>0.008682210814688229</v>
      </c>
      <c r="E21" s="7" t="n">
        <v>0.008682210814688229</v>
      </c>
      <c r="F21" s="8">
        <f>INDEX($C21:$E21,MATCH($C$3,$C$10:$E$10,0))</f>
        <v/>
      </c>
      <c r="G21" t="inlineStr">
        <is>
          <t>[Historical Derived]</t>
        </is>
      </c>
      <c r="H21" s="9" t="inlineStr">
        <is>
          <t>Compound quarterly growth over the 4 quarters to T0.</t>
        </is>
      </c>
    </row>
    <row r="22">
      <c r="A22" t="inlineStr">
        <is>
          <t>sbc_pct_rnd</t>
        </is>
      </c>
      <c r="B22" t="inlineStr">
        <is>
          <t>R&amp;D: stock-based compensation, % of revenue</t>
        </is>
      </c>
      <c r="C22" s="7" t="n">
        <v>0.1160965093596623</v>
      </c>
      <c r="D22" s="7" t="n">
        <v>0.1160965093596623</v>
      </c>
      <c r="E22" s="7" t="n">
        <v>0.1160965093596623</v>
      </c>
      <c r="F22" s="8">
        <f>INDEX($C22:$E22,MATCH($C$3,$C$10:$E$10,0))</f>
        <v/>
      </c>
      <c r="G22" t="inlineStr">
        <is>
          <t>[Historical Derived]</t>
        </is>
      </c>
      <c r="H22" s="9" t="inlineStr">
        <is>
          <t>Trailing 4 quarters to T0.</t>
        </is>
      </c>
    </row>
    <row r="23">
      <c r="A23" t="inlineStr">
        <is>
          <t>cph_growth_snm</t>
        </is>
      </c>
      <c r="B23" t="inlineStr">
        <is>
          <t>Sales and marketing: non-GAAP spend per employee, growth per quarter</t>
        </is>
      </c>
      <c r="C23" s="7" t="n">
        <v>0.01183026950337496</v>
      </c>
      <c r="D23" s="7" t="n">
        <v>0.01183026950337496</v>
      </c>
      <c r="E23" s="7" t="n">
        <v>0.01183026950337496</v>
      </c>
      <c r="F23" s="8">
        <f>INDEX($C23:$E23,MATCH($C$3,$C$10:$E$10,0))</f>
        <v/>
      </c>
      <c r="G23" t="inlineStr">
        <is>
          <t>[Historical Derived]</t>
        </is>
      </c>
      <c r="H23" s="9" t="inlineStr">
        <is>
          <t>Compound quarterly growth over the 4 quarters to T0.</t>
        </is>
      </c>
    </row>
    <row r="24">
      <c r="A24" t="inlineStr">
        <is>
          <t>sbc_pct_snm</t>
        </is>
      </c>
      <c r="B24" t="inlineStr">
        <is>
          <t>Sales and marketing: stock-based compensation, % of revenue</t>
        </is>
      </c>
      <c r="C24" s="7" t="n">
        <v>0.07034161651689734</v>
      </c>
      <c r="D24" s="7" t="n">
        <v>0.07034161651689734</v>
      </c>
      <c r="E24" s="7" t="n">
        <v>0.07034161651689734</v>
      </c>
      <c r="F24" s="8">
        <f>INDEX($C24:$E24,MATCH($C$3,$C$10:$E$10,0))</f>
        <v/>
      </c>
      <c r="G24" t="inlineStr">
        <is>
          <t>[Historical Derived]</t>
        </is>
      </c>
      <c r="H24" s="9" t="inlineStr">
        <is>
          <t>Trailing 4 quarters to T0.</t>
        </is>
      </c>
    </row>
    <row r="25">
      <c r="A25" t="inlineStr">
        <is>
          <t>cph_growth_gna</t>
        </is>
      </c>
      <c r="B25" t="inlineStr">
        <is>
          <t>General and administrative: non-GAAP spend per employee, growth per quarter</t>
        </is>
      </c>
      <c r="C25" s="7" t="n">
        <v>0.02789580582391515</v>
      </c>
      <c r="D25" s="7" t="n">
        <v>0.02789580582391515</v>
      </c>
      <c r="E25" s="7" t="n">
        <v>0.02789580582391515</v>
      </c>
      <c r="F25" s="8">
        <f>INDEX($C25:$E25,MATCH($C$3,$C$10:$E$10,0))</f>
        <v/>
      </c>
      <c r="G25" t="inlineStr">
        <is>
          <t>[Historical Derived]</t>
        </is>
      </c>
      <c r="H25" s="9" t="inlineStr">
        <is>
          <t>Compound quarterly growth over the 4 quarters to T0.</t>
        </is>
      </c>
    </row>
    <row r="26">
      <c r="A26" t="inlineStr">
        <is>
          <t>sbc_pct_gna</t>
        </is>
      </c>
      <c r="B26" t="inlineStr">
        <is>
          <t>General and administrative: stock-based compensation, % of revenue</t>
        </is>
      </c>
      <c r="C26" s="7" t="n">
        <v>0.02772982825178558</v>
      </c>
      <c r="D26" s="7" t="n">
        <v>0.02772982825178558</v>
      </c>
      <c r="E26" s="7" t="n">
        <v>0.02772982825178558</v>
      </c>
      <c r="F26" s="8">
        <f>INDEX($C26:$E26,MATCH($C$3,$C$10:$E$10,0))</f>
        <v/>
      </c>
      <c r="G26" t="inlineStr">
        <is>
          <t>[Historical Derived]</t>
        </is>
      </c>
      <c r="H26" s="9" t="inlineStr">
        <is>
          <t>Trailing 4 quarters to T0.</t>
        </is>
      </c>
    </row>
    <row r="27">
      <c r="A27" t="inlineStr">
        <is>
          <t>sbc_pct_cost_subscription</t>
        </is>
      </c>
      <c r="B27" t="inlineStr">
        <is>
          <t>SBC in cost subscription, % of revenue</t>
        </is>
      </c>
      <c r="C27" s="7" t="n">
        <v>0.01491847628853988</v>
      </c>
      <c r="D27" s="7" t="n">
        <v>0.01491847628853988</v>
      </c>
      <c r="E27" s="7" t="n">
        <v>0.01491847628853988</v>
      </c>
      <c r="F27" s="8">
        <f>INDEX($C27:$E27,MATCH($C$3,$C$10:$E$10,0))</f>
        <v/>
      </c>
      <c r="G27" t="inlineStr">
        <is>
          <t>[Historical Derived]</t>
        </is>
      </c>
      <c r="H27" s="9" t="inlineStr">
        <is>
          <t>Trailing 4 quarters to T0.</t>
        </is>
      </c>
    </row>
    <row r="28">
      <c r="A28" t="inlineStr">
        <is>
          <t>sbc_pct_cost_services</t>
        </is>
      </c>
      <c r="B28" t="inlineStr">
        <is>
          <t>SBC in cost services, % of revenue</t>
        </is>
      </c>
      <c r="C28" s="7" t="n">
        <v>0.006955223382678392</v>
      </c>
      <c r="D28" s="7" t="n">
        <v>0.006955223382678392</v>
      </c>
      <c r="E28" s="7" t="n">
        <v>0.006955223382678392</v>
      </c>
      <c r="F28" s="8">
        <f>INDEX($C28:$E28,MATCH($C$3,$C$10:$E$10,0))</f>
        <v/>
      </c>
      <c r="G28" t="inlineStr">
        <is>
          <t>[Historical Derived]</t>
        </is>
      </c>
      <c r="H28" s="9" t="inlineStr">
        <is>
          <t>Trailing 4 quarters to T0.</t>
        </is>
      </c>
    </row>
    <row r="29">
      <c r="A29" t="inlineStr">
        <is>
          <t>fcf_conv_q1</t>
        </is>
      </c>
      <c r="B29" t="inlineStr">
        <is>
          <t>FCF / non-GAAP operating income, fiscal Q1</t>
        </is>
      </c>
      <c r="C29" s="14" t="n">
        <v>1.321321834173</v>
      </c>
      <c r="D29" s="14" t="n">
        <v>1.321321834173</v>
      </c>
      <c r="E29" s="14" t="n">
        <v>1.321321834173</v>
      </c>
      <c r="F29" s="15">
        <f>INDEX($C29:$E29,MATCH($C$3,$C$10:$E$10,0))</f>
        <v/>
      </c>
      <c r="G29" t="inlineStr">
        <is>
          <t>[Historical Derived]</t>
        </is>
      </c>
      <c r="H29" s="9" t="inlineStr">
        <is>
          <t>Ratio in Q1 FY26, the latest Q1 known at the cutoff.</t>
        </is>
      </c>
    </row>
    <row r="30">
      <c r="A30" t="inlineStr">
        <is>
          <t>fcf_conv_q2</t>
        </is>
      </c>
      <c r="B30" t="inlineStr">
        <is>
          <t>FCF / non-GAAP operating income, fiscal Q2</t>
        </is>
      </c>
      <c r="C30" s="14" t="n">
        <v>0.9070032697133298</v>
      </c>
      <c r="D30" s="14" t="n">
        <v>0.9070032697133298</v>
      </c>
      <c r="E30" s="14" t="n">
        <v>0.9070032697133298</v>
      </c>
      <c r="F30" s="15">
        <f>INDEX($C30:$E30,MATCH($C$3,$C$10:$E$10,0))</f>
        <v/>
      </c>
      <c r="G30" t="inlineStr">
        <is>
          <t>[Historical Derived]</t>
        </is>
      </c>
      <c r="H30" s="9" t="inlineStr">
        <is>
          <t>Ratio in Q2 FY26, the latest Q2 known at the cutoff.</t>
        </is>
      </c>
    </row>
    <row r="31">
      <c r="A31" t="inlineStr">
        <is>
          <t>fcf_conv_q3</t>
        </is>
      </c>
      <c r="B31" t="inlineStr">
        <is>
          <t>FCF / non-GAAP operating income, fiscal Q3</t>
        </is>
      </c>
      <c r="C31" s="14" t="n">
        <v>0.3616732628830225</v>
      </c>
      <c r="D31" s="14" t="n">
        <v>0.3616732628830225</v>
      </c>
      <c r="E31" s="14" t="n">
        <v>0.3616732628830225</v>
      </c>
      <c r="F31" s="15">
        <f>INDEX($C31:$E31,MATCH($C$3,$C$10:$E$10,0))</f>
        <v/>
      </c>
      <c r="G31" t="inlineStr">
        <is>
          <t>[Historical Derived]</t>
        </is>
      </c>
      <c r="H31" s="9" t="inlineStr">
        <is>
          <t>Ratio in Q3 FY25, the latest Q3 known at the cutoff.</t>
        </is>
      </c>
    </row>
    <row r="32">
      <c r="A32" t="inlineStr">
        <is>
          <t>fcf_conv_q4</t>
        </is>
      </c>
      <c r="B32" t="inlineStr">
        <is>
          <t>FCF / non-GAAP operating income, fiscal Q4</t>
        </is>
      </c>
      <c r="C32" s="14" t="n">
        <v>0.2299962539801461</v>
      </c>
      <c r="D32" s="14" t="n">
        <v>0.2299962539801461</v>
      </c>
      <c r="E32" s="14" t="n">
        <v>0.2299962539801461</v>
      </c>
      <c r="F32" s="15">
        <f>INDEX($C32:$E32,MATCH($C$3,$C$10:$E$10,0))</f>
        <v/>
      </c>
      <c r="G32" t="inlineStr">
        <is>
          <t>[Historical Derived]</t>
        </is>
      </c>
      <c r="H32" s="9" t="inlineStr">
        <is>
          <t>Ratio in Q4 FY25, the latest Q4 known at the cutoff.</t>
        </is>
      </c>
    </row>
    <row r="34">
      <c r="A34" s="2" t="inlineStr">
        <is>
          <t>GTM capital-allocation case (Unit_Economics_ROI); flat across scenarios</t>
        </is>
      </c>
    </row>
    <row r="35">
      <c r="A35" t="inlineStr">
        <is>
          <t>roi_n_ae</t>
        </is>
      </c>
      <c r="B35" t="inlineStr">
        <is>
          <t>A. Incremental Enterprise AEs hired</t>
        </is>
      </c>
      <c r="C35" s="10" t="n">
        <v>30</v>
      </c>
      <c r="D35" s="10" t="n">
        <v>30</v>
      </c>
      <c r="E35" s="10" t="n">
        <v>30</v>
      </c>
      <c r="F35" s="11">
        <f>INDEX($C35:$E35,MATCH($C$3,$C$10:$E$10,0))</f>
        <v/>
      </c>
      <c r="G35" t="inlineStr">
        <is>
          <t>[Illustrative]</t>
        </is>
      </c>
      <c r="H35" t="inlineStr">
        <is>
          <t>Size of the hiring bet being evaluated.</t>
        </is>
      </c>
    </row>
    <row r="36">
      <c r="A36" t="inlineStr">
        <is>
          <t>roi_ae_cost</t>
        </is>
      </c>
      <c r="B36" t="inlineStr">
        <is>
          <t>A. Fully loaded cost per AE, annual ($)</t>
        </is>
      </c>
      <c r="C36" s="12" t="n">
        <v>350000</v>
      </c>
      <c r="D36" s="12" t="n">
        <v>350000</v>
      </c>
      <c r="E36" s="12" t="n">
        <v>350000</v>
      </c>
      <c r="F36" s="13">
        <f>INDEX($C36:$E36,MATCH($C$3,$C$10:$E$10,0))</f>
        <v/>
      </c>
      <c r="G36" t="inlineStr">
        <is>
          <t>[Illustrative]</t>
        </is>
      </c>
      <c r="H36" t="inlineStr">
        <is>
          <t>Salary, benefits, T&amp;E; excludes commission.</t>
        </is>
      </c>
    </row>
    <row r="37">
      <c r="A37" t="inlineStr">
        <is>
          <t>roi_support_pct</t>
        </is>
      </c>
      <c r="B37" t="inlineStr">
        <is>
          <t>A. Support overhead (SEs, managers), % of AE cost</t>
        </is>
      </c>
      <c r="C37" s="16" t="n">
        <v>0.3</v>
      </c>
      <c r="D37" s="16" t="n">
        <v>0.3</v>
      </c>
      <c r="E37" s="16" t="n">
        <v>0.3</v>
      </c>
      <c r="F37" s="17">
        <f>INDEX($C37:$E37,MATCH($C$3,$C$10:$E$10,0))</f>
        <v/>
      </c>
      <c r="G37" t="inlineStr">
        <is>
          <t>[Illustrative]</t>
        </is>
      </c>
      <c r="H37" t="inlineStr"/>
    </row>
    <row r="38">
      <c r="A38" t="inlineStr">
        <is>
          <t>roi_quota</t>
        </is>
      </c>
      <c r="B38" t="inlineStr">
        <is>
          <t>A. Annual quota, new ARR per ramped AE ($)</t>
        </is>
      </c>
      <c r="C38" s="12" t="n">
        <v>1000000</v>
      </c>
      <c r="D38" s="12" t="n">
        <v>1000000</v>
      </c>
      <c r="E38" s="12" t="n">
        <v>1000000</v>
      </c>
      <c r="F38" s="13">
        <f>INDEX($C38:$E38,MATCH($C$3,$C$10:$E$10,0))</f>
        <v/>
      </c>
      <c r="G38" t="inlineStr">
        <is>
          <t>[Illustrative]</t>
        </is>
      </c>
      <c r="H38" t="inlineStr"/>
    </row>
    <row r="39">
      <c r="A39" t="inlineStr">
        <is>
          <t>roi_attain</t>
        </is>
      </c>
      <c r="B39" t="inlineStr">
        <is>
          <t>A. Quota attainment</t>
        </is>
      </c>
      <c r="C39" s="16" t="n">
        <v>0.7</v>
      </c>
      <c r="D39" s="16" t="n">
        <v>0.7</v>
      </c>
      <c r="E39" s="16" t="n">
        <v>0.7</v>
      </c>
      <c r="F39" s="17">
        <f>INDEX($C39:$E39,MATCH($C$3,$C$10:$E$10,0))</f>
        <v/>
      </c>
      <c r="G39" t="inlineStr">
        <is>
          <t>[Illustrative]</t>
        </is>
      </c>
      <c r="H39" t="inlineStr"/>
    </row>
    <row r="40">
      <c r="A40" t="inlineStr">
        <is>
          <t>roi_ramp</t>
        </is>
      </c>
      <c r="B40" t="inlineStr">
        <is>
          <t>A. Ramp to full productivity (months)</t>
        </is>
      </c>
      <c r="C40" s="18" t="n">
        <v>6</v>
      </c>
      <c r="D40" s="18" t="n">
        <v>6</v>
      </c>
      <c r="E40" s="18" t="n">
        <v>6</v>
      </c>
      <c r="F40" s="19">
        <f>INDEX($C40:$E40,MATCH($C$3,$C$10:$E$10,0))</f>
        <v/>
      </c>
      <c r="G40" t="inlineStr">
        <is>
          <t>[Illustrative]</t>
        </is>
      </c>
      <c r="H40" t="inlineStr">
        <is>
          <t>Linear ramp.</t>
        </is>
      </c>
    </row>
    <row r="41">
      <c r="A41" t="inlineStr">
        <is>
          <t>roi_commission</t>
        </is>
      </c>
      <c r="B41" t="inlineStr">
        <is>
          <t>A. Commission, % of booked ARR</t>
        </is>
      </c>
      <c r="C41" s="16" t="n">
        <v>0.1</v>
      </c>
      <c r="D41" s="16" t="n">
        <v>0.1</v>
      </c>
      <c r="E41" s="16" t="n">
        <v>0.1</v>
      </c>
      <c r="F41" s="17">
        <f>INDEX($C41:$E41,MATCH($C$3,$C$10:$E$10,0))</f>
        <v/>
      </c>
      <c r="G41" t="inlineStr">
        <is>
          <t>[Illustrative]</t>
        </is>
      </c>
      <c r="H41" t="inlineStr">
        <is>
          <t>Paid in the month booked.</t>
        </is>
      </c>
    </row>
    <row r="42">
      <c r="A42" t="inlineStr">
        <is>
          <t>roi_target_customers</t>
        </is>
      </c>
      <c r="B42" t="inlineStr">
        <is>
          <t>B. Customers with &gt;$100k ARR (T0)</t>
        </is>
      </c>
      <c r="C42" s="10" t="n">
        <v>2564</v>
      </c>
      <c r="D42" s="10" t="n">
        <v>2564</v>
      </c>
      <c r="E42" s="10" t="n">
        <v>2564</v>
      </c>
      <c r="F42" s="11">
        <f>INDEX($C42:$E42,MATCH($C$3,$C$10:$E$10,0))</f>
        <v/>
      </c>
      <c r="G42" t="inlineStr">
        <is>
          <t>[Sourced - SEC Filing]</t>
        </is>
      </c>
      <c r="H42" t="inlineStr">
        <is>
          <t>Q2 FY26 10-Q.</t>
        </is>
      </c>
    </row>
    <row r="43">
      <c r="A43" t="inlineStr">
        <is>
          <t>roi_attach</t>
        </is>
      </c>
      <c r="B43" t="inlineStr">
        <is>
          <t>B. Attach rate at maturity</t>
        </is>
      </c>
      <c r="C43" s="16" t="n">
        <v>0.15</v>
      </c>
      <c r="D43" s="16" t="n">
        <v>0.15</v>
      </c>
      <c r="E43" s="16" t="n">
        <v>0.15</v>
      </c>
      <c r="F43" s="17">
        <f>INDEX($C43:$E43,MATCH($C$3,$C$10:$E$10,0))</f>
        <v/>
      </c>
      <c r="G43" t="inlineStr">
        <is>
          <t>[Illustrative]</t>
        </is>
      </c>
      <c r="H43" t="inlineStr">
        <is>
          <t>Share of &gt;$100k customers adopting.</t>
        </is>
      </c>
    </row>
    <row r="44">
      <c r="A44" t="inlineStr">
        <is>
          <t>roi_attach_arr</t>
        </is>
      </c>
      <c r="B44" t="inlineStr">
        <is>
          <t>B. Incremental ARR per attaching customer ($)</t>
        </is>
      </c>
      <c r="C44" s="12" t="n">
        <v>40000</v>
      </c>
      <c r="D44" s="12" t="n">
        <v>40000</v>
      </c>
      <c r="E44" s="12" t="n">
        <v>40000</v>
      </c>
      <c r="F44" s="13">
        <f>INDEX($C44:$E44,MATCH($C$3,$C$10:$E$10,0))</f>
        <v/>
      </c>
      <c r="G44" t="inlineStr">
        <is>
          <t>[Illustrative]</t>
        </is>
      </c>
      <c r="H44" t="inlineStr"/>
    </row>
    <row r="45">
      <c r="A45" t="inlineStr">
        <is>
          <t>roi_adopt</t>
        </is>
      </c>
      <c r="B45" t="inlineStr">
        <is>
          <t>B. Months to full adoption</t>
        </is>
      </c>
      <c r="C45" s="18" t="n">
        <v>12</v>
      </c>
      <c r="D45" s="18" t="n">
        <v>12</v>
      </c>
      <c r="E45" s="18" t="n">
        <v>12</v>
      </c>
      <c r="F45" s="19">
        <f>INDEX($C45:$E45,MATCH($C$3,$C$10:$E$10,0))</f>
        <v/>
      </c>
      <c r="G45" t="inlineStr">
        <is>
          <t>[Illustrative]</t>
        </is>
      </c>
      <c r="H45" t="inlineStr">
        <is>
          <t>Linear adoption.</t>
        </is>
      </c>
    </row>
    <row r="46">
      <c r="A46" t="inlineStr">
        <is>
          <t>roi_upfront</t>
        </is>
      </c>
      <c r="B46" t="inlineStr">
        <is>
          <t>B. Upfront build cost, month 1 ($)</t>
        </is>
      </c>
      <c r="C46" s="12" t="n">
        <v>15000000</v>
      </c>
      <c r="D46" s="12" t="n">
        <v>15000000</v>
      </c>
      <c r="E46" s="12" t="n">
        <v>15000000</v>
      </c>
      <c r="F46" s="13">
        <f>INDEX($C46:$E46,MATCH($C$3,$C$10:$E$10,0))</f>
        <v/>
      </c>
      <c r="G46" t="inlineStr">
        <is>
          <t>[Illustrative]</t>
        </is>
      </c>
      <c r="H46" t="inlineStr"/>
    </row>
    <row r="47">
      <c r="A47" t="inlineStr">
        <is>
          <t>roi_run_cost</t>
        </is>
      </c>
      <c r="B47" t="inlineStr">
        <is>
          <t>B. Ongoing cost per month ($)</t>
        </is>
      </c>
      <c r="C47" s="12" t="n">
        <v>500000</v>
      </c>
      <c r="D47" s="12" t="n">
        <v>500000</v>
      </c>
      <c r="E47" s="12" t="n">
        <v>500000</v>
      </c>
      <c r="F47" s="13">
        <f>INDEX($C47:$E47,MATCH($C$3,$C$10:$E$10,0))</f>
        <v/>
      </c>
      <c r="G47" t="inlineStr">
        <is>
          <t>[Illustrative]</t>
        </is>
      </c>
      <c r="H47" t="inlineStr"/>
    </row>
    <row r="48">
      <c r="A48" t="inlineStr">
        <is>
          <t>roi_nrr</t>
        </is>
      </c>
      <c r="B48" t="inlineStr">
        <is>
          <t>Both: net expansion of the new ARR (annual)</t>
        </is>
      </c>
      <c r="C48" s="7" t="n">
        <v>1.19</v>
      </c>
      <c r="D48" s="7" t="n">
        <v>1.19</v>
      </c>
      <c r="E48" s="7" t="n">
        <v>1.19</v>
      </c>
      <c r="F48" s="8">
        <f>INDEX($C48:$E48,MATCH($C$3,$C$10:$E$10,0))</f>
        <v/>
      </c>
      <c r="G48" t="inlineStr">
        <is>
          <t>[Sourced - SEC Filing]</t>
        </is>
      </c>
      <c r="H48" t="inlineStr">
        <is>
          <t>Disclosed net ARR expansion rate at T0.</t>
        </is>
      </c>
    </row>
    <row r="49">
      <c r="A49" t="inlineStr">
        <is>
          <t>roi_gm</t>
        </is>
      </c>
      <c r="B49" t="inlineStr">
        <is>
          <t>Both: non-GAAP subscription gross margin</t>
        </is>
      </c>
      <c r="C49" s="7" t="n">
        <v>0.7809623129867027</v>
      </c>
      <c r="D49" s="7" t="n">
        <v>0.7809623129867027</v>
      </c>
      <c r="E49" s="7" t="n">
        <v>0.7809623129867027</v>
      </c>
      <c r="F49" s="8">
        <f>INDEX($C49:$E49,MATCH($C$3,$C$10:$E$10,0))</f>
        <v/>
      </c>
      <c r="G49" t="inlineStr">
        <is>
          <t>[Historical Derived]</t>
        </is>
      </c>
      <c r="H49" t="inlineStr">
        <is>
          <t>Trailing 4 quarters to T0.</t>
        </is>
      </c>
    </row>
    <row r="50">
      <c r="A50" t="inlineStr">
        <is>
          <t>roi_discount</t>
        </is>
      </c>
      <c r="B50" t="inlineStr">
        <is>
          <t>Both: discount rate (annual)</t>
        </is>
      </c>
      <c r="C50" s="7" t="n">
        <v>0.1</v>
      </c>
      <c r="D50" s="7" t="n">
        <v>0.1</v>
      </c>
      <c r="E50" s="7" t="n">
        <v>0.1</v>
      </c>
      <c r="F50" s="8">
        <f>INDEX($C50:$E50,MATCH($C$3,$C$10:$E$10,0))</f>
        <v/>
      </c>
      <c r="G50" t="inlineStr">
        <is>
          <t>[Illustrative]</t>
        </is>
      </c>
      <c r="H50" t="inlineStr">
        <is>
          <t>Hurdle rate, not a WACC estimate.</t>
        </is>
      </c>
    </row>
    <row r="52">
      <c r="A52" s="2" t="inlineStr">
        <is>
          <t>Damped-trend baseline (BvA scorecard, section E); flat across scenarios</t>
        </is>
      </c>
    </row>
    <row r="53">
      <c r="A53" t="inlineStr">
        <is>
          <t>dt_alpha</t>
        </is>
      </c>
      <c r="B53" t="inlineStr">
        <is>
          <t>Level smoothing (alpha)</t>
        </is>
      </c>
      <c r="C53" s="20" t="n">
        <v>0.25</v>
      </c>
      <c r="D53" s="20" t="n">
        <v>0.25</v>
      </c>
      <c r="E53" s="20" t="n">
        <v>0.25</v>
      </c>
      <c r="F53" s="21">
        <f>INDEX($C53:$E53,MATCH($C$3,$C$10:$E$10,0))</f>
        <v/>
      </c>
      <c r="G53" t="inlineStr">
        <is>
          <t>[Historical Derived]</t>
        </is>
      </c>
      <c r="H53" t="inlineStr">
        <is>
          <t>Grid search on quarterly revenue to T0, minimising one-step-ahead squared error.</t>
        </is>
      </c>
    </row>
    <row r="54">
      <c r="A54" t="inlineStr">
        <is>
          <t>dt_beta</t>
        </is>
      </c>
      <c r="B54" t="inlineStr">
        <is>
          <t>Trend smoothing (beta)</t>
        </is>
      </c>
      <c r="C54" s="20" t="n">
        <v>0.5</v>
      </c>
      <c r="D54" s="20" t="n">
        <v>0.5</v>
      </c>
      <c r="E54" s="20" t="n">
        <v>0.5</v>
      </c>
      <c r="F54" s="21">
        <f>INDEX($C54:$E54,MATCH($C$3,$C$10:$E$10,0))</f>
        <v/>
      </c>
      <c r="G54" t="inlineStr">
        <is>
          <t>[Historical Derived]</t>
        </is>
      </c>
      <c r="H54" t="inlineStr">
        <is>
          <t>Grid search on quarterly revenue to T0, minimising one-step-ahead squared error.</t>
        </is>
      </c>
    </row>
    <row r="55">
      <c r="A55" t="inlineStr">
        <is>
          <t>dt_phi</t>
        </is>
      </c>
      <c r="B55" t="inlineStr">
        <is>
          <t>Trend damping per quarter (phi)</t>
        </is>
      </c>
      <c r="C55" s="20" t="n">
        <v>0.98</v>
      </c>
      <c r="D55" s="20" t="n">
        <v>0.98</v>
      </c>
      <c r="E55" s="20" t="n">
        <v>0.98</v>
      </c>
      <c r="F55" s="21">
        <f>INDEX($C55:$E55,MATCH($C$3,$C$10:$E$10,0))</f>
        <v/>
      </c>
      <c r="G55" t="inlineStr">
        <is>
          <t>[Historical Derived]</t>
        </is>
      </c>
      <c r="H55" t="inlineStr">
        <is>
          <t>Grid search on quarterly revenue to T0, minimising one-step-ahead squared error.</t>
        </is>
      </c>
    </row>
  </sheetData>
  <dataValidations count="1">
    <dataValidation sqref="C3" showDropDown="0" showInputMessage="0" showErrorMessage="0" allowBlank="0" type="list">
      <formula1>"Base,Upside,Downside"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Cohort and ARR build [Calibrated Synthetic Cohort Panel for history]</t>
        </is>
      </c>
    </row>
    <row r="2">
      <c r="B2" s="4" t="inlineStr">
        <is>
          <t>Fiscal label</t>
        </is>
      </c>
      <c r="D2" s="2" t="inlineStr">
        <is>
          <t>Q4 FY22</t>
        </is>
      </c>
      <c r="E2" s="2" t="inlineStr">
        <is>
          <t>Q1 FY23</t>
        </is>
      </c>
      <c r="F2" s="2" t="inlineStr">
        <is>
          <t>Q2 FY23</t>
        </is>
      </c>
      <c r="G2" s="2" t="inlineStr">
        <is>
          <t>Q3 FY23</t>
        </is>
      </c>
      <c r="H2" s="2" t="inlineStr">
        <is>
          <t>Q4 FY23</t>
        </is>
      </c>
      <c r="I2" s="2" t="inlineStr">
        <is>
          <t>Q1 FY24</t>
        </is>
      </c>
      <c r="J2" s="2" t="inlineStr">
        <is>
          <t>Q2 FY24</t>
        </is>
      </c>
      <c r="K2" s="2" t="inlineStr">
        <is>
          <t>Q3 FY24</t>
        </is>
      </c>
      <c r="L2" s="2" t="inlineStr">
        <is>
          <t>Q4 FY24</t>
        </is>
      </c>
      <c r="M2" s="2" t="inlineStr">
        <is>
          <t>Q1 FY25</t>
        </is>
      </c>
      <c r="N2" s="2" t="inlineStr">
        <is>
          <t>Q2 FY25</t>
        </is>
      </c>
      <c r="O2" s="2" t="inlineStr">
        <is>
          <t>Q3 FY25</t>
        </is>
      </c>
      <c r="P2" s="2" t="inlineStr">
        <is>
          <t>Q4 FY25</t>
        </is>
      </c>
      <c r="Q2" s="2" t="inlineStr">
        <is>
          <t>Q1 FY26</t>
        </is>
      </c>
      <c r="R2" s="2" t="inlineStr">
        <is>
          <t>Q2 FY26</t>
        </is>
      </c>
      <c r="S2" s="22" t="inlineStr">
        <is>
          <t>Q3 FY26</t>
        </is>
      </c>
      <c r="T2" s="22" t="inlineStr">
        <is>
          <t>Q4 FY26</t>
        </is>
      </c>
      <c r="U2" s="22" t="inlineStr">
        <is>
          <t>Q1 FY27</t>
        </is>
      </c>
      <c r="V2" s="22" t="inlineStr">
        <is>
          <t>Q2 FY27</t>
        </is>
      </c>
    </row>
    <row r="3">
      <c r="B3" s="4" t="inlineStr">
        <is>
          <t>Period end</t>
        </is>
      </c>
      <c r="D3" s="2" t="inlineStr">
        <is>
          <t>2022-01-31</t>
        </is>
      </c>
      <c r="E3" s="2" t="inlineStr">
        <is>
          <t>2022-04-30</t>
        </is>
      </c>
      <c r="F3" s="2" t="inlineStr">
        <is>
          <t>2022-07-31</t>
        </is>
      </c>
      <c r="G3" s="2" t="inlineStr">
        <is>
          <t>2022-10-31</t>
        </is>
      </c>
      <c r="H3" s="2" t="inlineStr">
        <is>
          <t>2023-01-31</t>
        </is>
      </c>
      <c r="I3" s="2" t="inlineStr">
        <is>
          <t>2023-04-30</t>
        </is>
      </c>
      <c r="J3" s="2" t="inlineStr">
        <is>
          <t>2023-07-31</t>
        </is>
      </c>
      <c r="K3" s="2" t="inlineStr">
        <is>
          <t>2023-10-31</t>
        </is>
      </c>
      <c r="L3" s="2" t="inlineStr">
        <is>
          <t>2024-01-31</t>
        </is>
      </c>
      <c r="M3" s="2" t="inlineStr">
        <is>
          <t>2024-04-30</t>
        </is>
      </c>
      <c r="N3" s="2" t="inlineStr">
        <is>
          <t>2024-07-31</t>
        </is>
      </c>
      <c r="O3" s="2" t="inlineStr">
        <is>
          <t>2024-10-31</t>
        </is>
      </c>
      <c r="P3" s="2" t="inlineStr">
        <is>
          <t>2025-01-31</t>
        </is>
      </c>
      <c r="Q3" s="2" t="inlineStr">
        <is>
          <t>2025-04-30</t>
        </is>
      </c>
      <c r="R3" s="2" t="inlineStr">
        <is>
          <t>2025-07-31</t>
        </is>
      </c>
      <c r="S3" s="22" t="inlineStr">
        <is>
          <t>2025-10-31</t>
        </is>
      </c>
      <c r="T3" s="22" t="inlineStr">
        <is>
          <t>2026-01-31</t>
        </is>
      </c>
      <c r="U3" s="22" t="inlineStr">
        <is>
          <t>2026-04-30</t>
        </is>
      </c>
      <c r="V3" s="22" t="inlineStr">
        <is>
          <t>2026-07-31</t>
        </is>
      </c>
    </row>
    <row r="4">
      <c r="B4" s="4" t="inlineStr">
        <is>
          <t>Kind</t>
        </is>
      </c>
      <c r="D4" s="2" t="inlineStr">
        <is>
          <t>Actual</t>
        </is>
      </c>
      <c r="E4" s="2" t="inlineStr">
        <is>
          <t>Actual</t>
        </is>
      </c>
      <c r="F4" s="2" t="inlineStr">
        <is>
          <t>Actual</t>
        </is>
      </c>
      <c r="G4" s="2" t="inlineStr">
        <is>
          <t>Actual</t>
        </is>
      </c>
      <c r="H4" s="2" t="inlineStr">
        <is>
          <t>Actual</t>
        </is>
      </c>
      <c r="I4" s="2" t="inlineStr">
        <is>
          <t>Actual</t>
        </is>
      </c>
      <c r="J4" s="2" t="inlineStr">
        <is>
          <t>Actual</t>
        </is>
      </c>
      <c r="K4" s="2" t="inlineStr">
        <is>
          <t>Actual</t>
        </is>
      </c>
      <c r="L4" s="2" t="inlineStr">
        <is>
          <t>Actual</t>
        </is>
      </c>
      <c r="M4" s="2" t="inlineStr">
        <is>
          <t>Actual</t>
        </is>
      </c>
      <c r="N4" s="2" t="inlineStr">
        <is>
          <t>Actual</t>
        </is>
      </c>
      <c r="O4" s="2" t="inlineStr">
        <is>
          <t>Actual</t>
        </is>
      </c>
      <c r="P4" s="2" t="inlineStr">
        <is>
          <t>Actual</t>
        </is>
      </c>
      <c r="Q4" s="2" t="inlineStr">
        <is>
          <t>Actual</t>
        </is>
      </c>
      <c r="R4" s="2" t="inlineStr">
        <is>
          <t>Actual</t>
        </is>
      </c>
      <c r="S4" s="22" t="inlineStr">
        <is>
          <t>Forecast</t>
        </is>
      </c>
      <c r="T4" s="22" t="inlineStr">
        <is>
          <t>Forecast</t>
        </is>
      </c>
      <c r="U4" s="22" t="inlineStr">
        <is>
          <t>Forecast</t>
        </is>
      </c>
      <c r="V4" s="22" t="inlineStr">
        <is>
          <t>Forecast</t>
        </is>
      </c>
    </row>
    <row r="5">
      <c r="B5" s="4" t="inlineStr">
        <is>
          <t>Days</t>
        </is>
      </c>
      <c r="D5" s="5" t="n">
        <v>92</v>
      </c>
      <c r="E5" s="5" t="n">
        <v>89</v>
      </c>
      <c r="F5" s="5" t="n">
        <v>92</v>
      </c>
      <c r="G5" s="5" t="n">
        <v>92</v>
      </c>
      <c r="H5" s="5" t="n">
        <v>92</v>
      </c>
      <c r="I5" s="5" t="n">
        <v>89</v>
      </c>
      <c r="J5" s="5" t="n">
        <v>92</v>
      </c>
      <c r="K5" s="5" t="n">
        <v>92</v>
      </c>
      <c r="L5" s="5" t="n">
        <v>92</v>
      </c>
      <c r="M5" s="5" t="n">
        <v>90</v>
      </c>
      <c r="N5" s="5" t="n">
        <v>92</v>
      </c>
      <c r="O5" s="5" t="n">
        <v>92</v>
      </c>
      <c r="P5" s="5" t="n">
        <v>92</v>
      </c>
      <c r="Q5" s="5" t="n">
        <v>89</v>
      </c>
      <c r="R5" s="5" t="n">
        <v>92</v>
      </c>
      <c r="S5" s="23" t="n">
        <v>92</v>
      </c>
      <c r="T5" s="23" t="n">
        <v>92</v>
      </c>
      <c r="U5" s="23" t="n">
        <v>89</v>
      </c>
      <c r="V5" s="23" t="n">
        <v>92</v>
      </c>
    </row>
    <row r="6">
      <c r="B6" s="4" t="inlineStr">
        <is>
          <t>Fiscal q</t>
        </is>
      </c>
      <c r="D6" s="5" t="n">
        <v>4</v>
      </c>
      <c r="E6" s="5" t="n">
        <v>1</v>
      </c>
      <c r="F6" s="5" t="n">
        <v>2</v>
      </c>
      <c r="G6" s="5" t="n">
        <v>3</v>
      </c>
      <c r="H6" s="5" t="n">
        <v>4</v>
      </c>
      <c r="I6" s="5" t="n">
        <v>1</v>
      </c>
      <c r="J6" s="5" t="n">
        <v>2</v>
      </c>
      <c r="K6" s="5" t="n">
        <v>3</v>
      </c>
      <c r="L6" s="5" t="n">
        <v>4</v>
      </c>
      <c r="M6" s="5" t="n">
        <v>1</v>
      </c>
      <c r="N6" s="5" t="n">
        <v>2</v>
      </c>
      <c r="O6" s="5" t="n">
        <v>3</v>
      </c>
      <c r="P6" s="5" t="n">
        <v>4</v>
      </c>
      <c r="Q6" s="5" t="n">
        <v>1</v>
      </c>
      <c r="R6" s="5" t="n">
        <v>2</v>
      </c>
      <c r="S6" s="23" t="n">
        <v>3</v>
      </c>
      <c r="T6" s="23" t="n">
        <v>4</v>
      </c>
      <c r="U6" s="23" t="n">
        <v>1</v>
      </c>
      <c r="V6" s="23" t="n">
        <v>2</v>
      </c>
    </row>
    <row r="8">
      <c r="A8" s="4" t="inlineStr">
        <is>
          <t>customers</t>
        </is>
      </c>
      <c r="B8" s="24" t="inlineStr">
        <is>
          <t>Total customers (period end)</t>
        </is>
      </c>
      <c r="C8" s="4" t="inlineStr">
        <is>
          <t>[Sourced - SEC Filing] history</t>
        </is>
      </c>
      <c r="G8" s="10" t="n">
        <v>39100</v>
      </c>
      <c r="H8" s="10" t="n">
        <v>40800</v>
      </c>
      <c r="I8" s="10" t="n">
        <v>43100</v>
      </c>
      <c r="J8" s="10" t="n">
        <v>45000</v>
      </c>
      <c r="K8" s="10" t="n">
        <v>46400</v>
      </c>
      <c r="L8" s="10" t="n">
        <v>47800</v>
      </c>
      <c r="M8" s="10" t="n">
        <v>49200</v>
      </c>
      <c r="N8" s="10" t="n">
        <v>50700</v>
      </c>
      <c r="O8" s="10" t="n">
        <v>52600</v>
      </c>
      <c r="P8" s="10" t="n">
        <v>54500</v>
      </c>
      <c r="Q8" s="10" t="n">
        <v>57100</v>
      </c>
      <c r="R8" s="10" t="n">
        <v>59900</v>
      </c>
      <c r="S8" s="25">
        <f>R8*(1-Inputs_Scenarios!$F$14)+Inputs_Scenarios!$F$12</f>
        <v/>
      </c>
      <c r="T8" s="25">
        <f>S8*(1-Inputs_Scenarios!$F$14)+Inputs_Scenarios!$F$12</f>
        <v/>
      </c>
      <c r="U8" s="25">
        <f>T8*(1-Inputs_Scenarios!$F$14)+Inputs_Scenarios!$F$12</f>
        <v/>
      </c>
      <c r="V8" s="25">
        <f>U8*(1-Inputs_Scenarios!$F$14)+Inputs_Scenarios!$F$12</f>
        <v/>
      </c>
    </row>
    <row r="9">
      <c r="A9" s="4" t="inlineStr">
        <is>
          <t>churned_logos</t>
        </is>
      </c>
      <c r="B9" s="24" t="inlineStr">
        <is>
          <t>Churned logos</t>
        </is>
      </c>
      <c r="C9" s="4" t="inlineStr">
        <is>
          <t>[Illustrative] rate</t>
        </is>
      </c>
      <c r="S9" s="25">
        <f>R8*Inputs_Scenarios!$F$14</f>
        <v/>
      </c>
      <c r="T9" s="25">
        <f>S8*Inputs_Scenarios!$F$14</f>
        <v/>
      </c>
      <c r="U9" s="25">
        <f>T8*Inputs_Scenarios!$F$14</f>
        <v/>
      </c>
      <c r="V9" s="25">
        <f>U8*Inputs_Scenarios!$F$14</f>
        <v/>
      </c>
    </row>
    <row r="10">
      <c r="A10" s="4" t="inlineStr">
        <is>
          <t>new_logos</t>
        </is>
      </c>
      <c r="B10" s="24" t="inlineStr">
        <is>
          <t>Gross new logos</t>
        </is>
      </c>
      <c r="C10" s="4" t="inlineStr">
        <is>
          <t>[Calibrated Synthetic] history; [Forecast Assumption]</t>
        </is>
      </c>
      <c r="H10" s="10" t="n">
        <v>3068.5</v>
      </c>
      <c r="I10" s="10" t="n">
        <v>3728</v>
      </c>
      <c r="J10" s="10" t="n">
        <v>3408.5</v>
      </c>
      <c r="K10" s="10" t="n">
        <v>2975</v>
      </c>
      <c r="L10" s="10" t="n">
        <v>3024</v>
      </c>
      <c r="M10" s="10" t="n">
        <v>3073</v>
      </c>
      <c r="N10" s="10" t="n">
        <v>3222</v>
      </c>
      <c r="O10" s="10" t="n">
        <v>3674.500000000007</v>
      </c>
      <c r="P10" s="10" t="n">
        <v>3740.999999999993</v>
      </c>
      <c r="Q10" s="10" t="n">
        <v>4507.500000000007</v>
      </c>
      <c r="R10" s="10" t="n">
        <v>4798.5</v>
      </c>
      <c r="S10" s="25">
        <f>Inputs_Scenarios!$F$12</f>
        <v/>
      </c>
      <c r="T10" s="25">
        <f>Inputs_Scenarios!$F$12</f>
        <v/>
      </c>
      <c r="U10" s="25">
        <f>Inputs_Scenarios!$F$12</f>
        <v/>
      </c>
      <c r="V10" s="25">
        <f>Inputs_Scenarios!$F$12</f>
        <v/>
      </c>
    </row>
    <row r="11">
      <c r="A11" s="4" t="inlineStr">
        <is>
          <t>ea</t>
        </is>
      </c>
      <c r="B11" s="24" t="inlineStr">
        <is>
          <t>Other subscription (EA) revenue</t>
        </is>
      </c>
      <c r="C11" s="4" t="inlineStr"/>
      <c r="D11" s="26">
        <f>'Operating_Model'!D9</f>
        <v/>
      </c>
      <c r="E11" s="26">
        <f>'Operating_Model'!E9</f>
        <v/>
      </c>
      <c r="F11" s="26">
        <f>'Operating_Model'!F9</f>
        <v/>
      </c>
      <c r="G11" s="26">
        <f>'Operating_Model'!G9</f>
        <v/>
      </c>
      <c r="H11" s="26">
        <f>'Operating_Model'!H9</f>
        <v/>
      </c>
      <c r="I11" s="26">
        <f>'Operating_Model'!I9</f>
        <v/>
      </c>
      <c r="J11" s="26">
        <f>'Operating_Model'!J9</f>
        <v/>
      </c>
      <c r="K11" s="26">
        <f>'Operating_Model'!K9</f>
        <v/>
      </c>
      <c r="L11" s="26">
        <f>'Operating_Model'!L9</f>
        <v/>
      </c>
      <c r="M11" s="26">
        <f>'Operating_Model'!M9</f>
        <v/>
      </c>
      <c r="N11" s="26">
        <f>'Operating_Model'!N9</f>
        <v/>
      </c>
      <c r="O11" s="26">
        <f>'Operating_Model'!O9</f>
        <v/>
      </c>
      <c r="P11" s="26">
        <f>'Operating_Model'!P9</f>
        <v/>
      </c>
      <c r="Q11" s="26">
        <f>'Operating_Model'!Q9</f>
        <v/>
      </c>
      <c r="R11" s="26">
        <f>'Operating_Model'!R9</f>
        <v/>
      </c>
      <c r="S11" s="27">
        <f>'Operating_Model'!S9</f>
        <v/>
      </c>
      <c r="T11" s="27">
        <f>'Operating_Model'!T9</f>
        <v/>
      </c>
      <c r="U11" s="27">
        <f>'Operating_Model'!U9</f>
        <v/>
      </c>
      <c r="V11" s="27">
        <f>'Operating_Model'!V9</f>
        <v/>
      </c>
    </row>
    <row r="12">
      <c r="A12" s="4" t="inlineStr">
        <is>
          <t>ea_ttm</t>
        </is>
      </c>
      <c r="B12" s="24" t="inlineStr">
        <is>
          <t>EA revenue, trailing 4 quarters</t>
        </is>
      </c>
      <c r="C12" s="4" t="inlineStr"/>
      <c r="G12" s="26">
        <f>SUM('Operating_Model'!D9:G9)</f>
        <v/>
      </c>
      <c r="H12" s="26">
        <f>SUM('Operating_Model'!E9:H9)</f>
        <v/>
      </c>
      <c r="I12" s="26">
        <f>SUM('Operating_Model'!F9:I9)</f>
        <v/>
      </c>
      <c r="J12" s="26">
        <f>SUM('Operating_Model'!G9:J9)</f>
        <v/>
      </c>
      <c r="K12" s="26">
        <f>SUM('Operating_Model'!H9:K9)</f>
        <v/>
      </c>
      <c r="L12" s="26">
        <f>SUM('Operating_Model'!I9:L9)</f>
        <v/>
      </c>
      <c r="M12" s="26">
        <f>SUM('Operating_Model'!J9:M9)</f>
        <v/>
      </c>
      <c r="N12" s="26">
        <f>SUM('Operating_Model'!K9:N9)</f>
        <v/>
      </c>
      <c r="O12" s="26">
        <f>SUM('Operating_Model'!L9:O9)</f>
        <v/>
      </c>
      <c r="P12" s="26">
        <f>SUM('Operating_Model'!M9:P9)</f>
        <v/>
      </c>
      <c r="Q12" s="26">
        <f>SUM('Operating_Model'!N9:Q9)</f>
        <v/>
      </c>
      <c r="R12" s="26">
        <f>SUM('Operating_Model'!O9:R9)</f>
        <v/>
      </c>
      <c r="S12" s="27">
        <f>SUM('Operating_Model'!P9:S9)</f>
        <v/>
      </c>
      <c r="T12" s="27">
        <f>SUM('Operating_Model'!Q9:T9)</f>
        <v/>
      </c>
      <c r="U12" s="27">
        <f>SUM('Operating_Model'!R9:U9)</f>
        <v/>
      </c>
      <c r="V12" s="27">
        <f>SUM('Operating_Model'!S9:V9)</f>
        <v/>
      </c>
    </row>
    <row r="13">
      <c r="A13" s="4" t="inlineStr">
        <is>
          <t>arr_existing</t>
        </is>
      </c>
      <c r="B13" s="24" t="inlineStr">
        <is>
          <t>ARR from existing customers</t>
        </is>
      </c>
      <c r="C13" s="4" t="inlineStr"/>
      <c r="S13" s="27">
        <f>R15*Inputs_Scenarios!$F$11^(1/Inputs_Scenarios!$C$6)</f>
        <v/>
      </c>
      <c r="T13" s="27">
        <f>S15*Inputs_Scenarios!$F$11^(1/Inputs_Scenarios!$C$6)</f>
        <v/>
      </c>
      <c r="U13" s="27">
        <f>T15*Inputs_Scenarios!$F$11^(1/Inputs_Scenarios!$C$6)</f>
        <v/>
      </c>
      <c r="V13" s="27">
        <f>U15*Inputs_Scenarios!$F$11^(1/Inputs_Scenarios!$C$6)</f>
        <v/>
      </c>
    </row>
    <row r="14">
      <c r="A14" s="4" t="inlineStr">
        <is>
          <t>arr_new</t>
        </is>
      </c>
      <c r="B14" s="24" t="inlineStr">
        <is>
          <t>ARR from new logos</t>
        </is>
      </c>
      <c r="C14" s="4" t="inlineStr"/>
      <c r="S14" s="27">
        <f>Inputs_Scenarios!$F$12*Inputs_Scenarios!$F$13</f>
        <v/>
      </c>
      <c r="T14" s="27">
        <f>Inputs_Scenarios!$F$12*Inputs_Scenarios!$F$13</f>
        <v/>
      </c>
      <c r="U14" s="27">
        <f>Inputs_Scenarios!$F$12*Inputs_Scenarios!$F$13</f>
        <v/>
      </c>
      <c r="V14" s="27">
        <f>Inputs_Scenarios!$F$12*Inputs_Scenarios!$F$13</f>
        <v/>
      </c>
    </row>
    <row r="15">
      <c r="A15" s="4" t="inlineStr">
        <is>
          <t>arr</t>
        </is>
      </c>
      <c r="B15" s="2" t="inlineStr">
        <is>
          <t>ARR proxy (Atlas annualised + EA trailing 4Q)</t>
        </is>
      </c>
      <c r="C15" s="4" t="inlineStr">
        <is>
          <t>[Historical Derived] proxy</t>
        </is>
      </c>
      <c r="G15" s="28">
        <f>'Operating_Model'!G8*Inputs_Scenarios!$C$5/G5+G12</f>
        <v/>
      </c>
      <c r="H15" s="28">
        <f>'Operating_Model'!H8*Inputs_Scenarios!$C$5/H5+H12</f>
        <v/>
      </c>
      <c r="I15" s="28">
        <f>'Operating_Model'!I8*Inputs_Scenarios!$C$5/I5+I12</f>
        <v/>
      </c>
      <c r="J15" s="28">
        <f>'Operating_Model'!J8*Inputs_Scenarios!$C$5/J5+J12</f>
        <v/>
      </c>
      <c r="K15" s="28">
        <f>'Operating_Model'!K8*Inputs_Scenarios!$C$5/K5+K12</f>
        <v/>
      </c>
      <c r="L15" s="28">
        <f>'Operating_Model'!L8*Inputs_Scenarios!$C$5/L5+L12</f>
        <v/>
      </c>
      <c r="M15" s="28">
        <f>'Operating_Model'!M8*Inputs_Scenarios!$C$5/M5+M12</f>
        <v/>
      </c>
      <c r="N15" s="28">
        <f>'Operating_Model'!N8*Inputs_Scenarios!$C$5/N5+N12</f>
        <v/>
      </c>
      <c r="O15" s="28">
        <f>'Operating_Model'!O8*Inputs_Scenarios!$C$5/O5+O12</f>
        <v/>
      </c>
      <c r="P15" s="28">
        <f>'Operating_Model'!P8*Inputs_Scenarios!$C$5/P5+P12</f>
        <v/>
      </c>
      <c r="Q15" s="28">
        <f>'Operating_Model'!Q8*Inputs_Scenarios!$C$5/Q5+Q12</f>
        <v/>
      </c>
      <c r="R15" s="28">
        <f>'Operating_Model'!R8*Inputs_Scenarios!$C$5/R5+R12</f>
        <v/>
      </c>
      <c r="S15" s="29">
        <f>S13+S14</f>
        <v/>
      </c>
      <c r="T15" s="29">
        <f>T13+T14</f>
        <v/>
      </c>
      <c r="U15" s="29">
        <f>U13+U14</f>
        <v/>
      </c>
      <c r="V15" s="29">
        <f>V13+V14</f>
        <v/>
      </c>
    </row>
    <row r="16">
      <c r="A16" s="4" t="inlineStr">
        <is>
          <t>atlas_run_rate</t>
        </is>
      </c>
      <c r="B16" s="24" t="inlineStr">
        <is>
          <t>Atlas annual run-rate (ARR - EA trailing 4Q)</t>
        </is>
      </c>
      <c r="C16" s="4" t="inlineStr"/>
      <c r="G16" s="26">
        <f>G15-G12</f>
        <v/>
      </c>
      <c r="H16" s="26">
        <f>H15-H12</f>
        <v/>
      </c>
      <c r="I16" s="26">
        <f>I15-I12</f>
        <v/>
      </c>
      <c r="J16" s="26">
        <f>J15-J12</f>
        <v/>
      </c>
      <c r="K16" s="26">
        <f>K15-K12</f>
        <v/>
      </c>
      <c r="L16" s="26">
        <f>L15-L12</f>
        <v/>
      </c>
      <c r="M16" s="26">
        <f>M15-M12</f>
        <v/>
      </c>
      <c r="N16" s="26">
        <f>N15-N12</f>
        <v/>
      </c>
      <c r="O16" s="26">
        <f>O15-O12</f>
        <v/>
      </c>
      <c r="P16" s="26">
        <f>P15-P12</f>
        <v/>
      </c>
      <c r="Q16" s="26">
        <f>Q15-Q12</f>
        <v/>
      </c>
      <c r="R16" s="26">
        <f>R15-R12</f>
        <v/>
      </c>
      <c r="S16" s="27">
        <f>S15-S12</f>
        <v/>
      </c>
      <c r="T16" s="27">
        <f>T15-T12</f>
        <v/>
      </c>
      <c r="U16" s="27">
        <f>U15-U12</f>
        <v/>
      </c>
      <c r="V16" s="27">
        <f>V15-V12</f>
        <v/>
      </c>
    </row>
    <row r="17">
      <c r="A17" s="4" t="inlineStr">
        <is>
          <t>atlas_rev</t>
        </is>
      </c>
      <c r="B17" s="2" t="inlineStr">
        <is>
          <t>Atlas revenue (run-rate x days / 365)</t>
        </is>
      </c>
      <c r="C17" s="4" t="inlineStr"/>
      <c r="D17" s="28">
        <f>'Operating_Model'!D8</f>
        <v/>
      </c>
      <c r="E17" s="28">
        <f>'Operating_Model'!E8</f>
        <v/>
      </c>
      <c r="F17" s="28">
        <f>'Operating_Model'!F8</f>
        <v/>
      </c>
      <c r="G17" s="28">
        <f>'Operating_Model'!G8</f>
        <v/>
      </c>
      <c r="H17" s="28">
        <f>'Operating_Model'!H8</f>
        <v/>
      </c>
      <c r="I17" s="28">
        <f>'Operating_Model'!I8</f>
        <v/>
      </c>
      <c r="J17" s="28">
        <f>'Operating_Model'!J8</f>
        <v/>
      </c>
      <c r="K17" s="28">
        <f>'Operating_Model'!K8</f>
        <v/>
      </c>
      <c r="L17" s="28">
        <f>'Operating_Model'!L8</f>
        <v/>
      </c>
      <c r="M17" s="28">
        <f>'Operating_Model'!M8</f>
        <v/>
      </c>
      <c r="N17" s="28">
        <f>'Operating_Model'!N8</f>
        <v/>
      </c>
      <c r="O17" s="28">
        <f>'Operating_Model'!O8</f>
        <v/>
      </c>
      <c r="P17" s="28">
        <f>'Operating_Model'!P8</f>
        <v/>
      </c>
      <c r="Q17" s="28">
        <f>'Operating_Model'!Q8</f>
        <v/>
      </c>
      <c r="R17" s="28">
        <f>'Operating_Model'!R8</f>
        <v/>
      </c>
      <c r="S17" s="29">
        <f>S16*S5/Inputs_Scenarios!$C$5</f>
        <v/>
      </c>
      <c r="T17" s="29">
        <f>T16*T5/Inputs_Scenarios!$C$5</f>
        <v/>
      </c>
      <c r="U17" s="29">
        <f>U16*U5/Inputs_Scenarios!$C$5</f>
        <v/>
      </c>
      <c r="V17" s="29">
        <f>V16*V5/Inputs_Scenarios!$C$5</f>
        <v/>
      </c>
    </row>
    <row r="18">
      <c r="A18" s="4" t="inlineStr">
        <is>
          <t>nrr</t>
        </is>
      </c>
      <c r="B18" s="24" t="inlineStr">
        <is>
          <t>Net ARR expansion rate (disclosed / driver)</t>
        </is>
      </c>
      <c r="C18" s="4" t="inlineStr">
        <is>
          <t>[Sourced - SEC Filing] history</t>
        </is>
      </c>
      <c r="F18" s="7" t="n">
        <v>1.2</v>
      </c>
      <c r="G18" s="7" t="n">
        <v>1.2</v>
      </c>
      <c r="H18" s="7" t="n">
        <v>1.2</v>
      </c>
      <c r="I18" s="7" t="n">
        <v>1.2</v>
      </c>
      <c r="J18" s="7" t="n">
        <v>1.2</v>
      </c>
      <c r="K18" s="7" t="n">
        <v>1.2</v>
      </c>
      <c r="L18" s="7" t="n">
        <v>1.2</v>
      </c>
      <c r="M18" s="7" t="n">
        <v>1.2</v>
      </c>
      <c r="N18" s="7" t="n">
        <v>1.19</v>
      </c>
      <c r="O18" s="7" t="n">
        <v>1.2</v>
      </c>
      <c r="P18" s="7" t="n">
        <v>1.18</v>
      </c>
      <c r="Q18" s="7" t="n">
        <v>1.19</v>
      </c>
      <c r="R18" s="7" t="n">
        <v>1.19</v>
      </c>
      <c r="S18" s="30">
        <f>Inputs_Scenarios!$F$11</f>
        <v/>
      </c>
      <c r="T18" s="30">
        <f>Inputs_Scenarios!$F$11</f>
        <v/>
      </c>
      <c r="U18" s="30">
        <f>Inputs_Scenarios!$F$11</f>
        <v/>
      </c>
      <c r="V18" s="30">
        <f>Inputs_Scenarios!$F$11</f>
        <v/>
      </c>
    </row>
    <row r="19">
      <c r="A19" s="4" t="inlineStr">
        <is>
          <t>arr_ledger</t>
        </is>
      </c>
      <c r="B19" s="24" t="inlineStr">
        <is>
          <t>ARR proxy per cohort ledger (check)</t>
        </is>
      </c>
      <c r="C19" s="4" t="inlineStr">
        <is>
          <t>[Calibrated Synthetic Cohort Panel]</t>
        </is>
      </c>
      <c r="G19" s="31" t="n">
        <v>1253164239.130435</v>
      </c>
      <c r="H19" s="31" t="n">
        <v>1353387695.652174</v>
      </c>
      <c r="I19" s="31" t="n">
        <v>1414297741.573034</v>
      </c>
      <c r="J19" s="31" t="n">
        <v>1543371065.217391</v>
      </c>
      <c r="K19" s="31" t="n">
        <v>1643229000</v>
      </c>
      <c r="L19" s="31" t="n">
        <v>1765676793.478261</v>
      </c>
      <c r="M19" s="31" t="n">
        <v>1800914388.888889</v>
      </c>
      <c r="N19" s="31" t="n">
        <v>1857759380.434783</v>
      </c>
      <c r="O19" s="31" t="n">
        <v>1966813956.521739</v>
      </c>
      <c r="P19" s="31" t="n">
        <v>2082161847.826087</v>
      </c>
      <c r="Q19" s="31" t="n">
        <v>2174807123.595506</v>
      </c>
      <c r="R19" s="31" t="n">
        <v>2302029760.869565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Headcount and operating expense build</t>
        </is>
      </c>
    </row>
    <row r="2">
      <c r="B2" s="4" t="inlineStr">
        <is>
          <t>Fiscal label</t>
        </is>
      </c>
      <c r="D2" s="2" t="inlineStr">
        <is>
          <t>Q4 FY22</t>
        </is>
      </c>
      <c r="E2" s="2" t="inlineStr">
        <is>
          <t>Q1 FY23</t>
        </is>
      </c>
      <c r="F2" s="2" t="inlineStr">
        <is>
          <t>Q2 FY23</t>
        </is>
      </c>
      <c r="G2" s="2" t="inlineStr">
        <is>
          <t>Q3 FY23</t>
        </is>
      </c>
      <c r="H2" s="2" t="inlineStr">
        <is>
          <t>Q4 FY23</t>
        </is>
      </c>
      <c r="I2" s="2" t="inlineStr">
        <is>
          <t>Q1 FY24</t>
        </is>
      </c>
      <c r="J2" s="2" t="inlineStr">
        <is>
          <t>Q2 FY24</t>
        </is>
      </c>
      <c r="K2" s="2" t="inlineStr">
        <is>
          <t>Q3 FY24</t>
        </is>
      </c>
      <c r="L2" s="2" t="inlineStr">
        <is>
          <t>Q4 FY24</t>
        </is>
      </c>
      <c r="M2" s="2" t="inlineStr">
        <is>
          <t>Q1 FY25</t>
        </is>
      </c>
      <c r="N2" s="2" t="inlineStr">
        <is>
          <t>Q2 FY25</t>
        </is>
      </c>
      <c r="O2" s="2" t="inlineStr">
        <is>
          <t>Q3 FY25</t>
        </is>
      </c>
      <c r="P2" s="2" t="inlineStr">
        <is>
          <t>Q4 FY25</t>
        </is>
      </c>
      <c r="Q2" s="2" t="inlineStr">
        <is>
          <t>Q1 FY26</t>
        </is>
      </c>
      <c r="R2" s="2" t="inlineStr">
        <is>
          <t>Q2 FY26</t>
        </is>
      </c>
      <c r="S2" s="22" t="inlineStr">
        <is>
          <t>Q3 FY26</t>
        </is>
      </c>
      <c r="T2" s="22" t="inlineStr">
        <is>
          <t>Q4 FY26</t>
        </is>
      </c>
      <c r="U2" s="22" t="inlineStr">
        <is>
          <t>Q1 FY27</t>
        </is>
      </c>
      <c r="V2" s="22" t="inlineStr">
        <is>
          <t>Q2 FY27</t>
        </is>
      </c>
    </row>
    <row r="3">
      <c r="B3" s="4" t="inlineStr">
        <is>
          <t>Period end</t>
        </is>
      </c>
      <c r="D3" s="2" t="inlineStr">
        <is>
          <t>2022-01-31</t>
        </is>
      </c>
      <c r="E3" s="2" t="inlineStr">
        <is>
          <t>2022-04-30</t>
        </is>
      </c>
      <c r="F3" s="2" t="inlineStr">
        <is>
          <t>2022-07-31</t>
        </is>
      </c>
      <c r="G3" s="2" t="inlineStr">
        <is>
          <t>2022-10-31</t>
        </is>
      </c>
      <c r="H3" s="2" t="inlineStr">
        <is>
          <t>2023-01-31</t>
        </is>
      </c>
      <c r="I3" s="2" t="inlineStr">
        <is>
          <t>2023-04-30</t>
        </is>
      </c>
      <c r="J3" s="2" t="inlineStr">
        <is>
          <t>2023-07-31</t>
        </is>
      </c>
      <c r="K3" s="2" t="inlineStr">
        <is>
          <t>2023-10-31</t>
        </is>
      </c>
      <c r="L3" s="2" t="inlineStr">
        <is>
          <t>2024-01-31</t>
        </is>
      </c>
      <c r="M3" s="2" t="inlineStr">
        <is>
          <t>2024-04-30</t>
        </is>
      </c>
      <c r="N3" s="2" t="inlineStr">
        <is>
          <t>2024-07-31</t>
        </is>
      </c>
      <c r="O3" s="2" t="inlineStr">
        <is>
          <t>2024-10-31</t>
        </is>
      </c>
      <c r="P3" s="2" t="inlineStr">
        <is>
          <t>2025-01-31</t>
        </is>
      </c>
      <c r="Q3" s="2" t="inlineStr">
        <is>
          <t>2025-04-30</t>
        </is>
      </c>
      <c r="R3" s="2" t="inlineStr">
        <is>
          <t>2025-07-31</t>
        </is>
      </c>
      <c r="S3" s="22" t="inlineStr">
        <is>
          <t>2025-10-31</t>
        </is>
      </c>
      <c r="T3" s="22" t="inlineStr">
        <is>
          <t>2026-01-31</t>
        </is>
      </c>
      <c r="U3" s="22" t="inlineStr">
        <is>
          <t>2026-04-30</t>
        </is>
      </c>
      <c r="V3" s="22" t="inlineStr">
        <is>
          <t>2026-07-31</t>
        </is>
      </c>
    </row>
    <row r="4">
      <c r="B4" s="4" t="inlineStr">
        <is>
          <t>Kind</t>
        </is>
      </c>
      <c r="D4" s="2" t="inlineStr">
        <is>
          <t>Actual</t>
        </is>
      </c>
      <c r="E4" s="2" t="inlineStr">
        <is>
          <t>Actual</t>
        </is>
      </c>
      <c r="F4" s="2" t="inlineStr">
        <is>
          <t>Actual</t>
        </is>
      </c>
      <c r="G4" s="2" t="inlineStr">
        <is>
          <t>Actual</t>
        </is>
      </c>
      <c r="H4" s="2" t="inlineStr">
        <is>
          <t>Actual</t>
        </is>
      </c>
      <c r="I4" s="2" t="inlineStr">
        <is>
          <t>Actual</t>
        </is>
      </c>
      <c r="J4" s="2" t="inlineStr">
        <is>
          <t>Actual</t>
        </is>
      </c>
      <c r="K4" s="2" t="inlineStr">
        <is>
          <t>Actual</t>
        </is>
      </c>
      <c r="L4" s="2" t="inlineStr">
        <is>
          <t>Actual</t>
        </is>
      </c>
      <c r="M4" s="2" t="inlineStr">
        <is>
          <t>Actual</t>
        </is>
      </c>
      <c r="N4" s="2" t="inlineStr">
        <is>
          <t>Actual</t>
        </is>
      </c>
      <c r="O4" s="2" t="inlineStr">
        <is>
          <t>Actual</t>
        </is>
      </c>
      <c r="P4" s="2" t="inlineStr">
        <is>
          <t>Actual</t>
        </is>
      </c>
      <c r="Q4" s="2" t="inlineStr">
        <is>
          <t>Actual</t>
        </is>
      </c>
      <c r="R4" s="2" t="inlineStr">
        <is>
          <t>Actual</t>
        </is>
      </c>
      <c r="S4" s="22" t="inlineStr">
        <is>
          <t>Forecast</t>
        </is>
      </c>
      <c r="T4" s="22" t="inlineStr">
        <is>
          <t>Forecast</t>
        </is>
      </c>
      <c r="U4" s="22" t="inlineStr">
        <is>
          <t>Forecast</t>
        </is>
      </c>
      <c r="V4" s="22" t="inlineStr">
        <is>
          <t>Forecast</t>
        </is>
      </c>
    </row>
    <row r="5">
      <c r="B5" s="4" t="inlineStr">
        <is>
          <t>Days</t>
        </is>
      </c>
      <c r="D5" s="5" t="n">
        <v>92</v>
      </c>
      <c r="E5" s="5" t="n">
        <v>89</v>
      </c>
      <c r="F5" s="5" t="n">
        <v>92</v>
      </c>
      <c r="G5" s="5" t="n">
        <v>92</v>
      </c>
      <c r="H5" s="5" t="n">
        <v>92</v>
      </c>
      <c r="I5" s="5" t="n">
        <v>89</v>
      </c>
      <c r="J5" s="5" t="n">
        <v>92</v>
      </c>
      <c r="K5" s="5" t="n">
        <v>92</v>
      </c>
      <c r="L5" s="5" t="n">
        <v>92</v>
      </c>
      <c r="M5" s="5" t="n">
        <v>90</v>
      </c>
      <c r="N5" s="5" t="n">
        <v>92</v>
      </c>
      <c r="O5" s="5" t="n">
        <v>92</v>
      </c>
      <c r="P5" s="5" t="n">
        <v>92</v>
      </c>
      <c r="Q5" s="5" t="n">
        <v>89</v>
      </c>
      <c r="R5" s="5" t="n">
        <v>92</v>
      </c>
      <c r="S5" s="23" t="n">
        <v>92</v>
      </c>
      <c r="T5" s="23" t="n">
        <v>92</v>
      </c>
      <c r="U5" s="23" t="n">
        <v>89</v>
      </c>
      <c r="V5" s="23" t="n">
        <v>92</v>
      </c>
    </row>
    <row r="6">
      <c r="B6" s="4" t="inlineStr">
        <is>
          <t>Fiscal q</t>
        </is>
      </c>
      <c r="D6" s="5" t="n">
        <v>4</v>
      </c>
      <c r="E6" s="5" t="n">
        <v>1</v>
      </c>
      <c r="F6" s="5" t="n">
        <v>2</v>
      </c>
      <c r="G6" s="5" t="n">
        <v>3</v>
      </c>
      <c r="H6" s="5" t="n">
        <v>4</v>
      </c>
      <c r="I6" s="5" t="n">
        <v>1</v>
      </c>
      <c r="J6" s="5" t="n">
        <v>2</v>
      </c>
      <c r="K6" s="5" t="n">
        <v>3</v>
      </c>
      <c r="L6" s="5" t="n">
        <v>4</v>
      </c>
      <c r="M6" s="5" t="n">
        <v>1</v>
      </c>
      <c r="N6" s="5" t="n">
        <v>2</v>
      </c>
      <c r="O6" s="5" t="n">
        <v>3</v>
      </c>
      <c r="P6" s="5" t="n">
        <v>4</v>
      </c>
      <c r="Q6" s="5" t="n">
        <v>1</v>
      </c>
      <c r="R6" s="5" t="n">
        <v>2</v>
      </c>
      <c r="S6" s="23" t="n">
        <v>3</v>
      </c>
      <c r="T6" s="23" t="n">
        <v>4</v>
      </c>
      <c r="U6" s="23" t="n">
        <v>1</v>
      </c>
      <c r="V6" s="23" t="n">
        <v>2</v>
      </c>
    </row>
    <row r="8">
      <c r="A8" s="4" t="inlineStr">
        <is>
          <t>headcount</t>
        </is>
      </c>
      <c r="B8" s="2" t="inlineStr">
        <is>
          <t>Employees (period end)</t>
        </is>
      </c>
      <c r="C8" s="4" t="inlineStr">
        <is>
          <t>see basis row</t>
        </is>
      </c>
      <c r="H8" s="10" t="n">
        <v>4619</v>
      </c>
      <c r="I8" s="10" t="n">
        <v>4723.5</v>
      </c>
      <c r="J8" s="10" t="n">
        <v>4828</v>
      </c>
      <c r="K8" s="10" t="n">
        <v>4932.5</v>
      </c>
      <c r="L8" s="10" t="n">
        <v>5037</v>
      </c>
      <c r="M8" s="10" t="n">
        <v>5167.25</v>
      </c>
      <c r="N8" s="10" t="n">
        <v>5297.5</v>
      </c>
      <c r="O8" s="10" t="n">
        <v>5427.75</v>
      </c>
      <c r="P8" s="10" t="n">
        <v>5558</v>
      </c>
      <c r="Q8" s="10" t="n">
        <v>5688.25</v>
      </c>
      <c r="R8" s="10" t="n">
        <v>5818.5</v>
      </c>
      <c r="S8" s="32">
        <f>R8+Inputs_Scenarios!$F$19</f>
        <v/>
      </c>
      <c r="T8" s="32">
        <f>S8+Inputs_Scenarios!$F$19</f>
        <v/>
      </c>
      <c r="U8" s="32">
        <f>T8+Inputs_Scenarios!$F$19</f>
        <v/>
      </c>
      <c r="V8" s="32">
        <f>U8+Inputs_Scenarios!$F$19</f>
        <v/>
      </c>
    </row>
    <row r="9">
      <c r="A9" s="4" t="inlineStr">
        <is>
          <t>hc_basis</t>
        </is>
      </c>
      <c r="B9" s="24" t="inlineStr">
        <is>
          <t>Headcount basis</t>
        </is>
      </c>
      <c r="C9" s="4" t="inlineStr"/>
      <c r="H9" s="33" t="inlineStr">
        <is>
          <t>[Sourced - SEC Filing]</t>
        </is>
      </c>
      <c r="I9" s="33" t="inlineStr">
        <is>
          <t>[Interpolated]</t>
        </is>
      </c>
      <c r="J9" s="33" t="inlineStr">
        <is>
          <t>[Interpolated]</t>
        </is>
      </c>
      <c r="K9" s="33" t="inlineStr">
        <is>
          <t>[Interpolated]</t>
        </is>
      </c>
      <c r="L9" s="33" t="inlineStr">
        <is>
          <t>[Sourced - SEC Filing]</t>
        </is>
      </c>
      <c r="M9" s="33" t="inlineStr">
        <is>
          <t>[Interpolated]</t>
        </is>
      </c>
      <c r="N9" s="33" t="inlineStr">
        <is>
          <t>[Interpolated]</t>
        </is>
      </c>
      <c r="O9" s="33" t="inlineStr">
        <is>
          <t>[Interpolated]</t>
        </is>
      </c>
      <c r="P9" s="33" t="inlineStr">
        <is>
          <t>[Sourced - SEC Filing]</t>
        </is>
      </c>
      <c r="Q9" s="33" t="inlineStr">
        <is>
          <t>[Estimated]</t>
        </is>
      </c>
      <c r="R9" s="33" t="inlineStr">
        <is>
          <t>[Estimated]</t>
        </is>
      </c>
    </row>
    <row r="10">
      <c r="A10" s="4" t="inlineStr">
        <is>
          <t>ng_rnd</t>
        </is>
      </c>
      <c r="B10" s="24" t="inlineStr">
        <is>
          <t>R&amp;D: non-GAAP spend</t>
        </is>
      </c>
      <c r="C10" s="4" t="inlineStr"/>
      <c r="D10" s="26">
        <f>'Operating_Model'!D24-'Operating_Model'!D21</f>
        <v/>
      </c>
      <c r="E10" s="26">
        <f>'Operating_Model'!E24-'Operating_Model'!E21</f>
        <v/>
      </c>
      <c r="F10" s="26">
        <f>'Operating_Model'!F24-'Operating_Model'!F21</f>
        <v/>
      </c>
      <c r="G10" s="26">
        <f>'Operating_Model'!G24-'Operating_Model'!G21</f>
        <v/>
      </c>
      <c r="H10" s="26">
        <f>'Operating_Model'!H24-'Operating_Model'!H21</f>
        <v/>
      </c>
      <c r="I10" s="26">
        <f>'Operating_Model'!I24-'Operating_Model'!I21</f>
        <v/>
      </c>
      <c r="J10" s="26">
        <f>'Operating_Model'!J24-'Operating_Model'!J21</f>
        <v/>
      </c>
      <c r="K10" s="26">
        <f>'Operating_Model'!K24-'Operating_Model'!K21</f>
        <v/>
      </c>
      <c r="L10" s="26">
        <f>'Operating_Model'!L24-'Operating_Model'!L21</f>
        <v/>
      </c>
      <c r="M10" s="26">
        <f>'Operating_Model'!M24-'Operating_Model'!M21</f>
        <v/>
      </c>
      <c r="N10" s="26">
        <f>'Operating_Model'!N24-'Operating_Model'!N21</f>
        <v/>
      </c>
      <c r="O10" s="26">
        <f>'Operating_Model'!O24-'Operating_Model'!O21</f>
        <v/>
      </c>
      <c r="P10" s="26">
        <f>'Operating_Model'!P24-'Operating_Model'!P21</f>
        <v/>
      </c>
      <c r="Q10" s="26">
        <f>'Operating_Model'!Q24-'Operating_Model'!Q21</f>
        <v/>
      </c>
      <c r="R10" s="26">
        <f>'Operating_Model'!R24-'Operating_Model'!R21</f>
        <v/>
      </c>
      <c r="S10" s="27">
        <f>S8*S11</f>
        <v/>
      </c>
      <c r="T10" s="27">
        <f>T8*T11</f>
        <v/>
      </c>
      <c r="U10" s="27">
        <f>U8*U11</f>
        <v/>
      </c>
      <c r="V10" s="27">
        <f>V8*V11</f>
        <v/>
      </c>
    </row>
    <row r="11">
      <c r="A11" s="4" t="inlineStr">
        <is>
          <t>cph_rnd</t>
        </is>
      </c>
      <c r="B11" s="24" t="inlineStr">
        <is>
          <t>R&amp;D: non-GAAP spend per employee (quarter)</t>
        </is>
      </c>
      <c r="C11" s="4" t="inlineStr"/>
      <c r="G11" s="34">
        <f>IF(G8="","",G10/G8)</f>
        <v/>
      </c>
      <c r="H11" s="34">
        <f>IF(H8="","",H10/H8)</f>
        <v/>
      </c>
      <c r="I11" s="34">
        <f>IF(I8="","",I10/I8)</f>
        <v/>
      </c>
      <c r="J11" s="34">
        <f>IF(J8="","",J10/J8)</f>
        <v/>
      </c>
      <c r="K11" s="34">
        <f>IF(K8="","",K10/K8)</f>
        <v/>
      </c>
      <c r="L11" s="34">
        <f>IF(L8="","",L10/L8)</f>
        <v/>
      </c>
      <c r="M11" s="34">
        <f>IF(M8="","",M10/M8)</f>
        <v/>
      </c>
      <c r="N11" s="34">
        <f>IF(N8="","",N10/N8)</f>
        <v/>
      </c>
      <c r="O11" s="34">
        <f>IF(O8="","",O10/O8)</f>
        <v/>
      </c>
      <c r="P11" s="34">
        <f>IF(P8="","",P10/P8)</f>
        <v/>
      </c>
      <c r="Q11" s="34">
        <f>IF(Q8="","",Q10/Q8)</f>
        <v/>
      </c>
      <c r="R11" s="34">
        <f>IF(R8="","",R10/R8)</f>
        <v/>
      </c>
      <c r="S11" s="35">
        <f>R11*(1+Inputs_Scenarios!$F$21)</f>
        <v/>
      </c>
      <c r="T11" s="35">
        <f>S11*(1+Inputs_Scenarios!$F$21)</f>
        <v/>
      </c>
      <c r="U11" s="35">
        <f>T11*(1+Inputs_Scenarios!$F$21)</f>
        <v/>
      </c>
      <c r="V11" s="35">
        <f>U11*(1+Inputs_Scenarios!$F$21)</f>
        <v/>
      </c>
    </row>
    <row r="12">
      <c r="A12" s="4" t="inlineStr">
        <is>
          <t>ng_snm</t>
        </is>
      </c>
      <c r="B12" s="24" t="inlineStr">
        <is>
          <t>Sales and marketing: non-GAAP spend</t>
        </is>
      </c>
      <c r="C12" s="4" t="inlineStr"/>
      <c r="D12" s="26">
        <f>'Operating_Model'!D25-'Operating_Model'!D22</f>
        <v/>
      </c>
      <c r="E12" s="26">
        <f>'Operating_Model'!E25-'Operating_Model'!E22</f>
        <v/>
      </c>
      <c r="F12" s="26">
        <f>'Operating_Model'!F25-'Operating_Model'!F22</f>
        <v/>
      </c>
      <c r="G12" s="26">
        <f>'Operating_Model'!G25-'Operating_Model'!G22</f>
        <v/>
      </c>
      <c r="H12" s="26">
        <f>'Operating_Model'!H25-'Operating_Model'!H22</f>
        <v/>
      </c>
      <c r="I12" s="26">
        <f>'Operating_Model'!I25-'Operating_Model'!I22</f>
        <v/>
      </c>
      <c r="J12" s="26">
        <f>'Operating_Model'!J25-'Operating_Model'!J22</f>
        <v/>
      </c>
      <c r="K12" s="26">
        <f>'Operating_Model'!K25-'Operating_Model'!K22</f>
        <v/>
      </c>
      <c r="L12" s="26">
        <f>'Operating_Model'!L25-'Operating_Model'!L22</f>
        <v/>
      </c>
      <c r="M12" s="26">
        <f>'Operating_Model'!M25-'Operating_Model'!M22</f>
        <v/>
      </c>
      <c r="N12" s="26">
        <f>'Operating_Model'!N25-'Operating_Model'!N22</f>
        <v/>
      </c>
      <c r="O12" s="26">
        <f>'Operating_Model'!O25-'Operating_Model'!O22</f>
        <v/>
      </c>
      <c r="P12" s="26">
        <f>'Operating_Model'!P25-'Operating_Model'!P22</f>
        <v/>
      </c>
      <c r="Q12" s="26">
        <f>'Operating_Model'!Q25-'Operating_Model'!Q22</f>
        <v/>
      </c>
      <c r="R12" s="26">
        <f>'Operating_Model'!R25-'Operating_Model'!R22</f>
        <v/>
      </c>
      <c r="S12" s="27">
        <f>S8*S13</f>
        <v/>
      </c>
      <c r="T12" s="27">
        <f>T8*T13</f>
        <v/>
      </c>
      <c r="U12" s="27">
        <f>U8*U13</f>
        <v/>
      </c>
      <c r="V12" s="27">
        <f>V8*V13</f>
        <v/>
      </c>
    </row>
    <row r="13">
      <c r="A13" s="4" t="inlineStr">
        <is>
          <t>cph_snm</t>
        </is>
      </c>
      <c r="B13" s="24" t="inlineStr">
        <is>
          <t>Sales and marketing: non-GAAP spend per employee (quarter)</t>
        </is>
      </c>
      <c r="C13" s="4" t="inlineStr"/>
      <c r="G13" s="34">
        <f>IF(G8="","",G12/G8)</f>
        <v/>
      </c>
      <c r="H13" s="34">
        <f>IF(H8="","",H12/H8)</f>
        <v/>
      </c>
      <c r="I13" s="34">
        <f>IF(I8="","",I12/I8)</f>
        <v/>
      </c>
      <c r="J13" s="34">
        <f>IF(J8="","",J12/J8)</f>
        <v/>
      </c>
      <c r="K13" s="34">
        <f>IF(K8="","",K12/K8)</f>
        <v/>
      </c>
      <c r="L13" s="34">
        <f>IF(L8="","",L12/L8)</f>
        <v/>
      </c>
      <c r="M13" s="34">
        <f>IF(M8="","",M12/M8)</f>
        <v/>
      </c>
      <c r="N13" s="34">
        <f>IF(N8="","",N12/N8)</f>
        <v/>
      </c>
      <c r="O13" s="34">
        <f>IF(O8="","",O12/O8)</f>
        <v/>
      </c>
      <c r="P13" s="34">
        <f>IF(P8="","",P12/P8)</f>
        <v/>
      </c>
      <c r="Q13" s="34">
        <f>IF(Q8="","",Q12/Q8)</f>
        <v/>
      </c>
      <c r="R13" s="34">
        <f>IF(R8="","",R12/R8)</f>
        <v/>
      </c>
      <c r="S13" s="35">
        <f>R13*(1+Inputs_Scenarios!$F$23)</f>
        <v/>
      </c>
      <c r="T13" s="35">
        <f>S13*(1+Inputs_Scenarios!$F$23)</f>
        <v/>
      </c>
      <c r="U13" s="35">
        <f>T13*(1+Inputs_Scenarios!$F$23)</f>
        <v/>
      </c>
      <c r="V13" s="35">
        <f>U13*(1+Inputs_Scenarios!$F$23)</f>
        <v/>
      </c>
    </row>
    <row r="14">
      <c r="A14" s="4" t="inlineStr">
        <is>
          <t>ng_gna</t>
        </is>
      </c>
      <c r="B14" s="24" t="inlineStr">
        <is>
          <t>General and administrative: non-GAAP spend</t>
        </is>
      </c>
      <c r="C14" s="4" t="inlineStr"/>
      <c r="D14" s="26">
        <f>'Operating_Model'!D26-'Operating_Model'!D23</f>
        <v/>
      </c>
      <c r="E14" s="26">
        <f>'Operating_Model'!E26-'Operating_Model'!E23</f>
        <v/>
      </c>
      <c r="F14" s="26">
        <f>'Operating_Model'!F26-'Operating_Model'!F23</f>
        <v/>
      </c>
      <c r="G14" s="26">
        <f>'Operating_Model'!G26-'Operating_Model'!G23</f>
        <v/>
      </c>
      <c r="H14" s="26">
        <f>'Operating_Model'!H26-'Operating_Model'!H23</f>
        <v/>
      </c>
      <c r="I14" s="26">
        <f>'Operating_Model'!I26-'Operating_Model'!I23</f>
        <v/>
      </c>
      <c r="J14" s="26">
        <f>'Operating_Model'!J26-'Operating_Model'!J23</f>
        <v/>
      </c>
      <c r="K14" s="26">
        <f>'Operating_Model'!K26-'Operating_Model'!K23</f>
        <v/>
      </c>
      <c r="L14" s="26">
        <f>'Operating_Model'!L26-'Operating_Model'!L23</f>
        <v/>
      </c>
      <c r="M14" s="26">
        <f>'Operating_Model'!M26-'Operating_Model'!M23</f>
        <v/>
      </c>
      <c r="N14" s="26">
        <f>'Operating_Model'!N26-'Operating_Model'!N23</f>
        <v/>
      </c>
      <c r="O14" s="26">
        <f>'Operating_Model'!O26-'Operating_Model'!O23</f>
        <v/>
      </c>
      <c r="P14" s="26">
        <f>'Operating_Model'!P26-'Operating_Model'!P23</f>
        <v/>
      </c>
      <c r="Q14" s="26">
        <f>'Operating_Model'!Q26-'Operating_Model'!Q23</f>
        <v/>
      </c>
      <c r="R14" s="26">
        <f>'Operating_Model'!R26-'Operating_Model'!R23</f>
        <v/>
      </c>
      <c r="S14" s="27">
        <f>S8*S15</f>
        <v/>
      </c>
      <c r="T14" s="27">
        <f>T8*T15</f>
        <v/>
      </c>
      <c r="U14" s="27">
        <f>U8*U15</f>
        <v/>
      </c>
      <c r="V14" s="27">
        <f>V8*V15</f>
        <v/>
      </c>
    </row>
    <row r="15">
      <c r="A15" s="4" t="inlineStr">
        <is>
          <t>cph_gna</t>
        </is>
      </c>
      <c r="B15" s="24" t="inlineStr">
        <is>
          <t>General and administrative: non-GAAP spend per employee (quarter)</t>
        </is>
      </c>
      <c r="C15" s="4" t="inlineStr"/>
      <c r="G15" s="34">
        <f>IF(G8="","",G14/G8)</f>
        <v/>
      </c>
      <c r="H15" s="34">
        <f>IF(H8="","",H14/H8)</f>
        <v/>
      </c>
      <c r="I15" s="34">
        <f>IF(I8="","",I14/I8)</f>
        <v/>
      </c>
      <c r="J15" s="34">
        <f>IF(J8="","",J14/J8)</f>
        <v/>
      </c>
      <c r="K15" s="34">
        <f>IF(K8="","",K14/K8)</f>
        <v/>
      </c>
      <c r="L15" s="34">
        <f>IF(L8="","",L14/L8)</f>
        <v/>
      </c>
      <c r="M15" s="34">
        <f>IF(M8="","",M14/M8)</f>
        <v/>
      </c>
      <c r="N15" s="34">
        <f>IF(N8="","",N14/N8)</f>
        <v/>
      </c>
      <c r="O15" s="34">
        <f>IF(O8="","",O14/O8)</f>
        <v/>
      </c>
      <c r="P15" s="34">
        <f>IF(P8="","",P14/P8)</f>
        <v/>
      </c>
      <c r="Q15" s="34">
        <f>IF(Q8="","",Q14/Q8)</f>
        <v/>
      </c>
      <c r="R15" s="34">
        <f>IF(R8="","",R14/R8)</f>
        <v/>
      </c>
      <c r="S15" s="35">
        <f>R15*(1+Inputs_Scenarios!$F$25)</f>
        <v/>
      </c>
      <c r="T15" s="35">
        <f>S15*(1+Inputs_Scenarios!$F$25)</f>
        <v/>
      </c>
      <c r="U15" s="35">
        <f>T15*(1+Inputs_Scenarios!$F$25)</f>
        <v/>
      </c>
      <c r="V15" s="35">
        <f>U15*(1+Inputs_Scenarios!$F$25)</f>
        <v/>
      </c>
    </row>
    <row r="16">
      <c r="A16" s="4" t="inlineStr">
        <is>
          <t>ng_total</t>
        </is>
      </c>
      <c r="B16" s="2" t="inlineStr">
        <is>
          <t>Non-GAAP operating expenses</t>
        </is>
      </c>
      <c r="C16" s="4" t="inlineStr"/>
      <c r="D16" s="28">
        <f>D10+D12+D14</f>
        <v/>
      </c>
      <c r="E16" s="28">
        <f>E10+E12+E14</f>
        <v/>
      </c>
      <c r="F16" s="28">
        <f>F10+F12+F14</f>
        <v/>
      </c>
      <c r="G16" s="28">
        <f>G10+G12+G14</f>
        <v/>
      </c>
      <c r="H16" s="28">
        <f>H10+H12+H14</f>
        <v/>
      </c>
      <c r="I16" s="28">
        <f>I10+I12+I14</f>
        <v/>
      </c>
      <c r="J16" s="28">
        <f>J10+J12+J14</f>
        <v/>
      </c>
      <c r="K16" s="28">
        <f>K10+K12+K14</f>
        <v/>
      </c>
      <c r="L16" s="28">
        <f>L10+L12+L14</f>
        <v/>
      </c>
      <c r="M16" s="28">
        <f>M10+M12+M14</f>
        <v/>
      </c>
      <c r="N16" s="28">
        <f>N10+N12+N14</f>
        <v/>
      </c>
      <c r="O16" s="28">
        <f>O10+O12+O14</f>
        <v/>
      </c>
      <c r="P16" s="28">
        <f>P10+P12+P14</f>
        <v/>
      </c>
      <c r="Q16" s="28">
        <f>Q10+Q12+Q14</f>
        <v/>
      </c>
      <c r="R16" s="28">
        <f>R10+R12+R14</f>
        <v/>
      </c>
      <c r="S16" s="29">
        <f>S10+S12+S14</f>
        <v/>
      </c>
      <c r="T16" s="29">
        <f>T10+T12+T14</f>
        <v/>
      </c>
      <c r="U16" s="29">
        <f>U10+U12+U14</f>
        <v/>
      </c>
      <c r="V16" s="29">
        <f>V10+V12+V14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Operating model: income statement and free cash flow (USD)</t>
        </is>
      </c>
    </row>
    <row r="2">
      <c r="B2" s="4" t="inlineStr">
        <is>
          <t>Fiscal label</t>
        </is>
      </c>
      <c r="D2" s="2" t="inlineStr">
        <is>
          <t>Q4 FY22</t>
        </is>
      </c>
      <c r="E2" s="2" t="inlineStr">
        <is>
          <t>Q1 FY23</t>
        </is>
      </c>
      <c r="F2" s="2" t="inlineStr">
        <is>
          <t>Q2 FY23</t>
        </is>
      </c>
      <c r="G2" s="2" t="inlineStr">
        <is>
          <t>Q3 FY23</t>
        </is>
      </c>
      <c r="H2" s="2" t="inlineStr">
        <is>
          <t>Q4 FY23</t>
        </is>
      </c>
      <c r="I2" s="2" t="inlineStr">
        <is>
          <t>Q1 FY24</t>
        </is>
      </c>
      <c r="J2" s="2" t="inlineStr">
        <is>
          <t>Q2 FY24</t>
        </is>
      </c>
      <c r="K2" s="2" t="inlineStr">
        <is>
          <t>Q3 FY24</t>
        </is>
      </c>
      <c r="L2" s="2" t="inlineStr">
        <is>
          <t>Q4 FY24</t>
        </is>
      </c>
      <c r="M2" s="2" t="inlineStr">
        <is>
          <t>Q1 FY25</t>
        </is>
      </c>
      <c r="N2" s="2" t="inlineStr">
        <is>
          <t>Q2 FY25</t>
        </is>
      </c>
      <c r="O2" s="2" t="inlineStr">
        <is>
          <t>Q3 FY25</t>
        </is>
      </c>
      <c r="P2" s="2" t="inlineStr">
        <is>
          <t>Q4 FY25</t>
        </is>
      </c>
      <c r="Q2" s="2" t="inlineStr">
        <is>
          <t>Q1 FY26</t>
        </is>
      </c>
      <c r="R2" s="2" t="inlineStr">
        <is>
          <t>Q2 FY26</t>
        </is>
      </c>
      <c r="S2" s="22" t="inlineStr">
        <is>
          <t>Q3 FY26</t>
        </is>
      </c>
      <c r="T2" s="22" t="inlineStr">
        <is>
          <t>Q4 FY26</t>
        </is>
      </c>
      <c r="U2" s="22" t="inlineStr">
        <is>
          <t>Q1 FY27</t>
        </is>
      </c>
      <c r="V2" s="22" t="inlineStr">
        <is>
          <t>Q2 FY27</t>
        </is>
      </c>
    </row>
    <row r="3">
      <c r="B3" s="4" t="inlineStr">
        <is>
          <t>Period end</t>
        </is>
      </c>
      <c r="D3" s="2" t="inlineStr">
        <is>
          <t>2022-01-31</t>
        </is>
      </c>
      <c r="E3" s="2" t="inlineStr">
        <is>
          <t>2022-04-30</t>
        </is>
      </c>
      <c r="F3" s="2" t="inlineStr">
        <is>
          <t>2022-07-31</t>
        </is>
      </c>
      <c r="G3" s="2" t="inlineStr">
        <is>
          <t>2022-10-31</t>
        </is>
      </c>
      <c r="H3" s="2" t="inlineStr">
        <is>
          <t>2023-01-31</t>
        </is>
      </c>
      <c r="I3" s="2" t="inlineStr">
        <is>
          <t>2023-04-30</t>
        </is>
      </c>
      <c r="J3" s="2" t="inlineStr">
        <is>
          <t>2023-07-31</t>
        </is>
      </c>
      <c r="K3" s="2" t="inlineStr">
        <is>
          <t>2023-10-31</t>
        </is>
      </c>
      <c r="L3" s="2" t="inlineStr">
        <is>
          <t>2024-01-31</t>
        </is>
      </c>
      <c r="M3" s="2" t="inlineStr">
        <is>
          <t>2024-04-30</t>
        </is>
      </c>
      <c r="N3" s="2" t="inlineStr">
        <is>
          <t>2024-07-31</t>
        </is>
      </c>
      <c r="O3" s="2" t="inlineStr">
        <is>
          <t>2024-10-31</t>
        </is>
      </c>
      <c r="P3" s="2" t="inlineStr">
        <is>
          <t>2025-01-31</t>
        </is>
      </c>
      <c r="Q3" s="2" t="inlineStr">
        <is>
          <t>2025-04-30</t>
        </is>
      </c>
      <c r="R3" s="2" t="inlineStr">
        <is>
          <t>2025-07-31</t>
        </is>
      </c>
      <c r="S3" s="22" t="inlineStr">
        <is>
          <t>2025-10-31</t>
        </is>
      </c>
      <c r="T3" s="22" t="inlineStr">
        <is>
          <t>2026-01-31</t>
        </is>
      </c>
      <c r="U3" s="22" t="inlineStr">
        <is>
          <t>2026-04-30</t>
        </is>
      </c>
      <c r="V3" s="22" t="inlineStr">
        <is>
          <t>2026-07-31</t>
        </is>
      </c>
    </row>
    <row r="4">
      <c r="B4" s="4" t="inlineStr">
        <is>
          <t>Kind</t>
        </is>
      </c>
      <c r="D4" s="2" t="inlineStr">
        <is>
          <t>Actual</t>
        </is>
      </c>
      <c r="E4" s="2" t="inlineStr">
        <is>
          <t>Actual</t>
        </is>
      </c>
      <c r="F4" s="2" t="inlineStr">
        <is>
          <t>Actual</t>
        </is>
      </c>
      <c r="G4" s="2" t="inlineStr">
        <is>
          <t>Actual</t>
        </is>
      </c>
      <c r="H4" s="2" t="inlineStr">
        <is>
          <t>Actual</t>
        </is>
      </c>
      <c r="I4" s="2" t="inlineStr">
        <is>
          <t>Actual</t>
        </is>
      </c>
      <c r="J4" s="2" t="inlineStr">
        <is>
          <t>Actual</t>
        </is>
      </c>
      <c r="K4" s="2" t="inlineStr">
        <is>
          <t>Actual</t>
        </is>
      </c>
      <c r="L4" s="2" t="inlineStr">
        <is>
          <t>Actual</t>
        </is>
      </c>
      <c r="M4" s="2" t="inlineStr">
        <is>
          <t>Actual</t>
        </is>
      </c>
      <c r="N4" s="2" t="inlineStr">
        <is>
          <t>Actual</t>
        </is>
      </c>
      <c r="O4" s="2" t="inlineStr">
        <is>
          <t>Actual</t>
        </is>
      </c>
      <c r="P4" s="2" t="inlineStr">
        <is>
          <t>Actual</t>
        </is>
      </c>
      <c r="Q4" s="2" t="inlineStr">
        <is>
          <t>Actual</t>
        </is>
      </c>
      <c r="R4" s="2" t="inlineStr">
        <is>
          <t>Actual</t>
        </is>
      </c>
      <c r="S4" s="22" t="inlineStr">
        <is>
          <t>Forecast</t>
        </is>
      </c>
      <c r="T4" s="22" t="inlineStr">
        <is>
          <t>Forecast</t>
        </is>
      </c>
      <c r="U4" s="22" t="inlineStr">
        <is>
          <t>Forecast</t>
        </is>
      </c>
      <c r="V4" s="22" t="inlineStr">
        <is>
          <t>Forecast</t>
        </is>
      </c>
    </row>
    <row r="5">
      <c r="B5" s="4" t="inlineStr">
        <is>
          <t>Days</t>
        </is>
      </c>
      <c r="D5" s="5" t="n">
        <v>92</v>
      </c>
      <c r="E5" s="5" t="n">
        <v>89</v>
      </c>
      <c r="F5" s="5" t="n">
        <v>92</v>
      </c>
      <c r="G5" s="5" t="n">
        <v>92</v>
      </c>
      <c r="H5" s="5" t="n">
        <v>92</v>
      </c>
      <c r="I5" s="5" t="n">
        <v>89</v>
      </c>
      <c r="J5" s="5" t="n">
        <v>92</v>
      </c>
      <c r="K5" s="5" t="n">
        <v>92</v>
      </c>
      <c r="L5" s="5" t="n">
        <v>92</v>
      </c>
      <c r="M5" s="5" t="n">
        <v>90</v>
      </c>
      <c r="N5" s="5" t="n">
        <v>92</v>
      </c>
      <c r="O5" s="5" t="n">
        <v>92</v>
      </c>
      <c r="P5" s="5" t="n">
        <v>92</v>
      </c>
      <c r="Q5" s="5" t="n">
        <v>89</v>
      </c>
      <c r="R5" s="5" t="n">
        <v>92</v>
      </c>
      <c r="S5" s="23" t="n">
        <v>92</v>
      </c>
      <c r="T5" s="23" t="n">
        <v>92</v>
      </c>
      <c r="U5" s="23" t="n">
        <v>89</v>
      </c>
      <c r="V5" s="23" t="n">
        <v>92</v>
      </c>
    </row>
    <row r="6">
      <c r="B6" s="4" t="inlineStr">
        <is>
          <t>Fiscal q</t>
        </is>
      </c>
      <c r="D6" s="5" t="n">
        <v>4</v>
      </c>
      <c r="E6" s="5" t="n">
        <v>1</v>
      </c>
      <c r="F6" s="5" t="n">
        <v>2</v>
      </c>
      <c r="G6" s="5" t="n">
        <v>3</v>
      </c>
      <c r="H6" s="5" t="n">
        <v>4</v>
      </c>
      <c r="I6" s="5" t="n">
        <v>1</v>
      </c>
      <c r="J6" s="5" t="n">
        <v>2</v>
      </c>
      <c r="K6" s="5" t="n">
        <v>3</v>
      </c>
      <c r="L6" s="5" t="n">
        <v>4</v>
      </c>
      <c r="M6" s="5" t="n">
        <v>1</v>
      </c>
      <c r="N6" s="5" t="n">
        <v>2</v>
      </c>
      <c r="O6" s="5" t="n">
        <v>3</v>
      </c>
      <c r="P6" s="5" t="n">
        <v>4</v>
      </c>
      <c r="Q6" s="5" t="n">
        <v>1</v>
      </c>
      <c r="R6" s="5" t="n">
        <v>2</v>
      </c>
      <c r="S6" s="23" t="n">
        <v>3</v>
      </c>
      <c r="T6" s="23" t="n">
        <v>4</v>
      </c>
      <c r="U6" s="23" t="n">
        <v>1</v>
      </c>
      <c r="V6" s="23" t="n">
        <v>2</v>
      </c>
    </row>
    <row r="8">
      <c r="A8" s="4" t="inlineStr">
        <is>
          <t>atlas</t>
        </is>
      </c>
      <c r="B8" s="24" t="inlineStr">
        <is>
          <t>Atlas-related subscription revenue</t>
        </is>
      </c>
      <c r="C8" s="4" t="inlineStr">
        <is>
          <t>[Sourced - SEC Filing] history</t>
        </is>
      </c>
      <c r="D8" s="31" t="n">
        <v>155897000</v>
      </c>
      <c r="E8" s="31" t="n">
        <v>169995000</v>
      </c>
      <c r="F8" s="31" t="n">
        <v>193354000</v>
      </c>
      <c r="G8" s="31" t="n">
        <v>211378000</v>
      </c>
      <c r="H8" s="31" t="n">
        <v>233536000</v>
      </c>
      <c r="I8" s="31" t="n">
        <v>237756000</v>
      </c>
      <c r="J8" s="31" t="n">
        <v>267258000</v>
      </c>
      <c r="K8" s="31" t="n">
        <v>286856000</v>
      </c>
      <c r="L8" s="31" t="n">
        <v>313481000</v>
      </c>
      <c r="M8" s="31" t="n">
        <v>313855000</v>
      </c>
      <c r="N8" s="31" t="n">
        <v>339683000</v>
      </c>
      <c r="O8" s="31" t="n">
        <v>362604000</v>
      </c>
      <c r="P8" s="31" t="n">
        <v>389042000</v>
      </c>
      <c r="Q8" s="31" t="n">
        <v>395893000</v>
      </c>
      <c r="R8" s="31" t="n">
        <v>438970000</v>
      </c>
      <c r="S8" s="27">
        <f>'Cohort_ARR_Build'!S17</f>
        <v/>
      </c>
      <c r="T8" s="27">
        <f>'Cohort_ARR_Build'!T17</f>
        <v/>
      </c>
      <c r="U8" s="27">
        <f>'Cohort_ARR_Build'!U17</f>
        <v/>
      </c>
      <c r="V8" s="27">
        <f>'Cohort_ARR_Build'!V17</f>
        <v/>
      </c>
    </row>
    <row r="9">
      <c r="A9" s="4" t="inlineStr">
        <is>
          <t>ea</t>
        </is>
      </c>
      <c r="B9" s="24" t="inlineStr">
        <is>
          <t>Other subscription revenue (EA)</t>
        </is>
      </c>
      <c r="C9" s="4" t="inlineStr">
        <is>
          <t>[Sourced - SEC Filing] history</t>
        </is>
      </c>
      <c r="D9" s="31" t="n">
        <v>102328000</v>
      </c>
      <c r="E9" s="31" t="n">
        <v>104586000</v>
      </c>
      <c r="F9" s="31" t="n">
        <v>98253000</v>
      </c>
      <c r="G9" s="31" t="n">
        <v>109378000</v>
      </c>
      <c r="H9" s="31" t="n">
        <v>114642000</v>
      </c>
      <c r="I9" s="31" t="n">
        <v>116958000</v>
      </c>
      <c r="J9" s="31" t="n">
        <v>142076000</v>
      </c>
      <c r="K9" s="31" t="n">
        <v>131483000</v>
      </c>
      <c r="L9" s="31" t="n">
        <v>131458000</v>
      </c>
      <c r="M9" s="31" t="n">
        <v>123041000</v>
      </c>
      <c r="N9" s="31" t="n">
        <v>124122000</v>
      </c>
      <c r="O9" s="31" t="n">
        <v>149601000</v>
      </c>
      <c r="P9" s="31" t="n">
        <v>141916000</v>
      </c>
      <c r="Q9" s="31" t="n">
        <v>135562000</v>
      </c>
      <c r="R9" s="31" t="n">
        <v>133385000</v>
      </c>
      <c r="S9" s="27">
        <f>O9*(1+Inputs_Scenarios!$F$15)</f>
        <v/>
      </c>
      <c r="T9" s="27">
        <f>P9*(1+Inputs_Scenarios!$F$15)</f>
        <v/>
      </c>
      <c r="U9" s="27">
        <f>Q9*(1+Inputs_Scenarios!$F$15)</f>
        <v/>
      </c>
      <c r="V9" s="27">
        <f>R9*(1+Inputs_Scenarios!$F$15)</f>
        <v/>
      </c>
    </row>
    <row r="10">
      <c r="A10" s="4" t="inlineStr">
        <is>
          <t>sub</t>
        </is>
      </c>
      <c r="B10" s="24" t="inlineStr">
        <is>
          <t>Subscription revenue</t>
        </is>
      </c>
      <c r="C10" s="4" t="inlineStr"/>
      <c r="D10" s="26">
        <f>D8+D9</f>
        <v/>
      </c>
      <c r="E10" s="26">
        <f>E8+E9</f>
        <v/>
      </c>
      <c r="F10" s="26">
        <f>F8+F9</f>
        <v/>
      </c>
      <c r="G10" s="26">
        <f>G8+G9</f>
        <v/>
      </c>
      <c r="H10" s="26">
        <f>H8+H9</f>
        <v/>
      </c>
      <c r="I10" s="26">
        <f>I8+I9</f>
        <v/>
      </c>
      <c r="J10" s="26">
        <f>J8+J9</f>
        <v/>
      </c>
      <c r="K10" s="26">
        <f>K8+K9</f>
        <v/>
      </c>
      <c r="L10" s="26">
        <f>L8+L9</f>
        <v/>
      </c>
      <c r="M10" s="26">
        <f>M8+M9</f>
        <v/>
      </c>
      <c r="N10" s="26">
        <f>N8+N9</f>
        <v/>
      </c>
      <c r="O10" s="26">
        <f>O8+O9</f>
        <v/>
      </c>
      <c r="P10" s="26">
        <f>P8+P9</f>
        <v/>
      </c>
      <c r="Q10" s="26">
        <f>Q8+Q9</f>
        <v/>
      </c>
      <c r="R10" s="26">
        <f>R8+R9</f>
        <v/>
      </c>
      <c r="S10" s="27">
        <f>S8+S9</f>
        <v/>
      </c>
      <c r="T10" s="27">
        <f>T8+T9</f>
        <v/>
      </c>
      <c r="U10" s="27">
        <f>U8+U9</f>
        <v/>
      </c>
      <c r="V10" s="27">
        <f>V8+V9</f>
        <v/>
      </c>
    </row>
    <row r="11">
      <c r="A11" s="4" t="inlineStr">
        <is>
          <t>svc</t>
        </is>
      </c>
      <c r="B11" s="24" t="inlineStr">
        <is>
          <t>Services revenue</t>
        </is>
      </c>
      <c r="C11" s="4" t="inlineStr">
        <is>
          <t>[Sourced - SEC Filing] history</t>
        </is>
      </c>
      <c r="D11" s="31" t="n">
        <v>8269000</v>
      </c>
      <c r="E11" s="31" t="n">
        <v>10866000</v>
      </c>
      <c r="F11" s="31" t="n">
        <v>12053000</v>
      </c>
      <c r="G11" s="31" t="n">
        <v>12865000</v>
      </c>
      <c r="H11" s="31" t="n">
        <v>13134000</v>
      </c>
      <c r="I11" s="31" t="n">
        <v>13566000</v>
      </c>
      <c r="J11" s="31" t="n">
        <v>14457000</v>
      </c>
      <c r="K11" s="31" t="n">
        <v>14599000</v>
      </c>
      <c r="L11" s="31" t="n">
        <v>13063000</v>
      </c>
      <c r="M11" s="31" t="n">
        <v>13665000</v>
      </c>
      <c r="N11" s="31" t="n">
        <v>14304000</v>
      </c>
      <c r="O11" s="31" t="n">
        <v>17170000</v>
      </c>
      <c r="P11" s="31" t="n">
        <v>17440000</v>
      </c>
      <c r="Q11" s="31" t="n">
        <v>17559000</v>
      </c>
      <c r="R11" s="31" t="n">
        <v>19047000</v>
      </c>
      <c r="S11" s="27">
        <f>O11*(1+Inputs_Scenarios!$F$16)</f>
        <v/>
      </c>
      <c r="T11" s="27">
        <f>P11*(1+Inputs_Scenarios!$F$16)</f>
        <v/>
      </c>
      <c r="U11" s="27">
        <f>Q11*(1+Inputs_Scenarios!$F$16)</f>
        <v/>
      </c>
      <c r="V11" s="27">
        <f>R11*(1+Inputs_Scenarios!$F$16)</f>
        <v/>
      </c>
    </row>
    <row r="12">
      <c r="A12" s="4" t="inlineStr">
        <is>
          <t>revenue</t>
        </is>
      </c>
      <c r="B12" s="2" t="inlineStr">
        <is>
          <t>Total revenue</t>
        </is>
      </c>
      <c r="C12" s="4" t="inlineStr"/>
      <c r="D12" s="28">
        <f>D10+D11</f>
        <v/>
      </c>
      <c r="E12" s="28">
        <f>E10+E11</f>
        <v/>
      </c>
      <c r="F12" s="28">
        <f>F10+F11</f>
        <v/>
      </c>
      <c r="G12" s="28">
        <f>G10+G11</f>
        <v/>
      </c>
      <c r="H12" s="28">
        <f>H10+H11</f>
        <v/>
      </c>
      <c r="I12" s="28">
        <f>I10+I11</f>
        <v/>
      </c>
      <c r="J12" s="28">
        <f>J10+J11</f>
        <v/>
      </c>
      <c r="K12" s="28">
        <f>K10+K11</f>
        <v/>
      </c>
      <c r="L12" s="28">
        <f>L10+L11</f>
        <v/>
      </c>
      <c r="M12" s="28">
        <f>M10+M11</f>
        <v/>
      </c>
      <c r="N12" s="28">
        <f>N10+N11</f>
        <v/>
      </c>
      <c r="O12" s="28">
        <f>O10+O11</f>
        <v/>
      </c>
      <c r="P12" s="28">
        <f>P10+P11</f>
        <v/>
      </c>
      <c r="Q12" s="28">
        <f>Q10+Q11</f>
        <v/>
      </c>
      <c r="R12" s="28">
        <f>R10+R11</f>
        <v/>
      </c>
      <c r="S12" s="29">
        <f>S10+S11</f>
        <v/>
      </c>
      <c r="T12" s="29">
        <f>T10+T11</f>
        <v/>
      </c>
      <c r="U12" s="29">
        <f>U10+U11</f>
        <v/>
      </c>
      <c r="V12" s="29">
        <f>V10+V11</f>
        <v/>
      </c>
    </row>
    <row r="13">
      <c r="A13" s="4" t="inlineStr">
        <is>
          <t>rev_yoy</t>
        </is>
      </c>
      <c r="B13" s="24" t="inlineStr">
        <is>
          <t>Revenue growth, YoY</t>
        </is>
      </c>
      <c r="C13" s="4" t="inlineStr"/>
      <c r="H13" s="36">
        <f>H12/D12-1</f>
        <v/>
      </c>
      <c r="I13" s="36">
        <f>I12/E12-1</f>
        <v/>
      </c>
      <c r="J13" s="36">
        <f>J12/F12-1</f>
        <v/>
      </c>
      <c r="K13" s="36">
        <f>K12/G12-1</f>
        <v/>
      </c>
      <c r="L13" s="36">
        <f>L12/H12-1</f>
        <v/>
      </c>
      <c r="M13" s="36">
        <f>M12/I12-1</f>
        <v/>
      </c>
      <c r="N13" s="36">
        <f>N12/J12-1</f>
        <v/>
      </c>
      <c r="O13" s="36">
        <f>O12/K12-1</f>
        <v/>
      </c>
      <c r="P13" s="36">
        <f>P12/L12-1</f>
        <v/>
      </c>
      <c r="Q13" s="36">
        <f>Q12/M12-1</f>
        <v/>
      </c>
      <c r="R13" s="36">
        <f>R12/N12-1</f>
        <v/>
      </c>
      <c r="S13" s="30">
        <f>S12/O12-1</f>
        <v/>
      </c>
      <c r="T13" s="30">
        <f>T12/P12-1</f>
        <v/>
      </c>
      <c r="U13" s="30">
        <f>U12/Q12-1</f>
        <v/>
      </c>
      <c r="V13" s="30">
        <f>V12/R12-1</f>
        <v/>
      </c>
    </row>
    <row r="14">
      <c r="A14" s="4" t="inlineStr">
        <is>
          <t>cost_sub</t>
        </is>
      </c>
      <c r="B14" s="24" t="inlineStr">
        <is>
          <t>Cost of subscription</t>
        </is>
      </c>
      <c r="C14" s="4" t="inlineStr"/>
      <c r="D14" s="31" t="n">
        <v>64166000</v>
      </c>
      <c r="E14" s="31" t="n">
        <v>64569000</v>
      </c>
      <c r="F14" s="31" t="n">
        <v>71435000</v>
      </c>
      <c r="G14" s="31" t="n">
        <v>77150000</v>
      </c>
      <c r="H14" s="31" t="n">
        <v>71429000</v>
      </c>
      <c r="I14" s="31" t="n">
        <v>78173000</v>
      </c>
      <c r="J14" s="31" t="n">
        <v>84822000</v>
      </c>
      <c r="K14" s="31" t="n">
        <v>87954000</v>
      </c>
      <c r="L14" s="31" t="n">
        <v>94284000</v>
      </c>
      <c r="M14" s="31" t="n">
        <v>100762000</v>
      </c>
      <c r="N14" s="31" t="n">
        <v>106816000</v>
      </c>
      <c r="O14" s="31" t="n">
        <v>111150000</v>
      </c>
      <c r="P14" s="31" t="n">
        <v>122676000</v>
      </c>
      <c r="Q14" s="31" t="n">
        <v>129585000</v>
      </c>
      <c r="R14" s="31" t="n">
        <v>139949000</v>
      </c>
      <c r="S14" s="27">
        <f>S10*(1-Inputs_Scenarios!$F$17)</f>
        <v/>
      </c>
      <c r="T14" s="27">
        <f>T10*(1-Inputs_Scenarios!$F$17)</f>
        <v/>
      </c>
      <c r="U14" s="27">
        <f>U10*(1-Inputs_Scenarios!$F$17)</f>
        <v/>
      </c>
      <c r="V14" s="27">
        <f>V10*(1-Inputs_Scenarios!$F$17)</f>
        <v/>
      </c>
    </row>
    <row r="15">
      <c r="A15" s="4" t="inlineStr">
        <is>
          <t>cost_svc</t>
        </is>
      </c>
      <c r="B15" s="24" t="inlineStr">
        <is>
          <t>Cost of services</t>
        </is>
      </c>
      <c r="C15" s="4" t="inlineStr"/>
      <c r="D15" s="31" t="n">
        <v>11632000</v>
      </c>
      <c r="E15" s="31" t="n">
        <v>13646000</v>
      </c>
      <c r="F15" s="31" t="n">
        <v>16842000</v>
      </c>
      <c r="G15" s="31" t="n">
        <v>16502000</v>
      </c>
      <c r="H15" s="31" t="n">
        <v>17731000</v>
      </c>
      <c r="I15" s="31" t="n">
        <v>19276000</v>
      </c>
      <c r="J15" s="31" t="n">
        <v>20515000</v>
      </c>
      <c r="K15" s="31" t="n">
        <v>19104000</v>
      </c>
      <c r="L15" s="31" t="n">
        <v>20357000</v>
      </c>
      <c r="M15" s="31" t="n">
        <v>21935000</v>
      </c>
      <c r="N15" s="31" t="n">
        <v>21437000</v>
      </c>
      <c r="O15" s="31" t="n">
        <v>24181000</v>
      </c>
      <c r="P15" s="31" t="n">
        <v>26339000</v>
      </c>
      <c r="Q15" s="31" t="n">
        <v>28456000</v>
      </c>
      <c r="R15" s="31" t="n">
        <v>31479000</v>
      </c>
      <c r="S15" s="27">
        <f>S11*(1-Inputs_Scenarios!$F$18)</f>
        <v/>
      </c>
      <c r="T15" s="27">
        <f>T11*(1-Inputs_Scenarios!$F$18)</f>
        <v/>
      </c>
      <c r="U15" s="27">
        <f>U11*(1-Inputs_Scenarios!$F$18)</f>
        <v/>
      </c>
      <c r="V15" s="27">
        <f>V11*(1-Inputs_Scenarios!$F$18)</f>
        <v/>
      </c>
    </row>
    <row r="16">
      <c r="A16" s="4" t="inlineStr">
        <is>
          <t>cost</t>
        </is>
      </c>
      <c r="B16" s="24" t="inlineStr">
        <is>
          <t>Cost of revenue</t>
        </is>
      </c>
      <c r="C16" s="4" t="inlineStr"/>
      <c r="D16" s="26">
        <f>D14+D15</f>
        <v/>
      </c>
      <c r="E16" s="26">
        <f>E14+E15</f>
        <v/>
      </c>
      <c r="F16" s="26">
        <f>F14+F15</f>
        <v/>
      </c>
      <c r="G16" s="26">
        <f>G14+G15</f>
        <v/>
      </c>
      <c r="H16" s="26">
        <f>H14+H15</f>
        <v/>
      </c>
      <c r="I16" s="26">
        <f>I14+I15</f>
        <v/>
      </c>
      <c r="J16" s="26">
        <f>J14+J15</f>
        <v/>
      </c>
      <c r="K16" s="26">
        <f>K14+K15</f>
        <v/>
      </c>
      <c r="L16" s="26">
        <f>L14+L15</f>
        <v/>
      </c>
      <c r="M16" s="26">
        <f>M14+M15</f>
        <v/>
      </c>
      <c r="N16" s="26">
        <f>N14+N15</f>
        <v/>
      </c>
      <c r="O16" s="26">
        <f>O14+O15</f>
        <v/>
      </c>
      <c r="P16" s="26">
        <f>P14+P15</f>
        <v/>
      </c>
      <c r="Q16" s="26">
        <f>Q14+Q15</f>
        <v/>
      </c>
      <c r="R16" s="26">
        <f>R14+R15</f>
        <v/>
      </c>
      <c r="S16" s="27">
        <f>S14+S15</f>
        <v/>
      </c>
      <c r="T16" s="27">
        <f>T14+T15</f>
        <v/>
      </c>
      <c r="U16" s="27">
        <f>U14+U15</f>
        <v/>
      </c>
      <c r="V16" s="27">
        <f>V14+V15</f>
        <v/>
      </c>
    </row>
    <row r="17">
      <c r="A17" s="4" t="inlineStr">
        <is>
          <t>gp</t>
        </is>
      </c>
      <c r="B17" s="2" t="inlineStr">
        <is>
          <t>Gross profit</t>
        </is>
      </c>
      <c r="C17" s="4" t="inlineStr"/>
      <c r="D17" s="28">
        <f>D12-D16</f>
        <v/>
      </c>
      <c r="E17" s="28">
        <f>E12-E16</f>
        <v/>
      </c>
      <c r="F17" s="28">
        <f>F12-F16</f>
        <v/>
      </c>
      <c r="G17" s="28">
        <f>G12-G16</f>
        <v/>
      </c>
      <c r="H17" s="28">
        <f>H12-H16</f>
        <v/>
      </c>
      <c r="I17" s="28">
        <f>I12-I16</f>
        <v/>
      </c>
      <c r="J17" s="28">
        <f>J12-J16</f>
        <v/>
      </c>
      <c r="K17" s="28">
        <f>K12-K16</f>
        <v/>
      </c>
      <c r="L17" s="28">
        <f>L12-L16</f>
        <v/>
      </c>
      <c r="M17" s="28">
        <f>M12-M16</f>
        <v/>
      </c>
      <c r="N17" s="28">
        <f>N12-N16</f>
        <v/>
      </c>
      <c r="O17" s="28">
        <f>O12-O16</f>
        <v/>
      </c>
      <c r="P17" s="28">
        <f>P12-P16</f>
        <v/>
      </c>
      <c r="Q17" s="28">
        <f>Q12-Q16</f>
        <v/>
      </c>
      <c r="R17" s="28">
        <f>R12-R16</f>
        <v/>
      </c>
      <c r="S17" s="29">
        <f>S12-S16</f>
        <v/>
      </c>
      <c r="T17" s="29">
        <f>T12-T16</f>
        <v/>
      </c>
      <c r="U17" s="29">
        <f>U12-U16</f>
        <v/>
      </c>
      <c r="V17" s="29">
        <f>V12-V16</f>
        <v/>
      </c>
    </row>
    <row r="18">
      <c r="A18" s="4" t="inlineStr">
        <is>
          <t>gm</t>
        </is>
      </c>
      <c r="B18" s="24" t="inlineStr">
        <is>
          <t>Gross margin</t>
        </is>
      </c>
      <c r="C18" s="4" t="inlineStr"/>
      <c r="D18" s="36">
        <f>D17/D12</f>
        <v/>
      </c>
      <c r="E18" s="36">
        <f>E17/E12</f>
        <v/>
      </c>
      <c r="F18" s="36">
        <f>F17/F12</f>
        <v/>
      </c>
      <c r="G18" s="36">
        <f>G17/G12</f>
        <v/>
      </c>
      <c r="H18" s="36">
        <f>H17/H12</f>
        <v/>
      </c>
      <c r="I18" s="36">
        <f>I17/I12</f>
        <v/>
      </c>
      <c r="J18" s="36">
        <f>J17/J12</f>
        <v/>
      </c>
      <c r="K18" s="36">
        <f>K17/K12</f>
        <v/>
      </c>
      <c r="L18" s="36">
        <f>L17/L12</f>
        <v/>
      </c>
      <c r="M18" s="36">
        <f>M17/M12</f>
        <v/>
      </c>
      <c r="N18" s="36">
        <f>N17/N12</f>
        <v/>
      </c>
      <c r="O18" s="36">
        <f>O17/O12</f>
        <v/>
      </c>
      <c r="P18" s="36">
        <f>P17/P12</f>
        <v/>
      </c>
      <c r="Q18" s="36">
        <f>Q17/Q12</f>
        <v/>
      </c>
      <c r="R18" s="36">
        <f>R17/R12</f>
        <v/>
      </c>
      <c r="S18" s="30">
        <f>S17/S12</f>
        <v/>
      </c>
      <c r="T18" s="30">
        <f>T17/T12</f>
        <v/>
      </c>
      <c r="U18" s="30">
        <f>U17/U12</f>
        <v/>
      </c>
      <c r="V18" s="30">
        <f>V17/V12</f>
        <v/>
      </c>
    </row>
    <row r="19">
      <c r="A19" s="4" t="inlineStr">
        <is>
          <t>sbc_cost_subscription</t>
        </is>
      </c>
      <c r="B19" s="24" t="inlineStr">
        <is>
          <t>Stock-based compensation in cost subscription</t>
        </is>
      </c>
      <c r="C19" s="4" t="inlineStr"/>
      <c r="D19" s="31" t="n">
        <v>4065000</v>
      </c>
      <c r="E19" s="31" t="n">
        <v>4467000</v>
      </c>
      <c r="F19" s="31" t="n">
        <v>5009000</v>
      </c>
      <c r="G19" s="31" t="n">
        <v>5016000</v>
      </c>
      <c r="H19" s="31" t="n">
        <v>5190000</v>
      </c>
      <c r="I19" s="31" t="n">
        <v>5514000</v>
      </c>
      <c r="J19" s="31" t="n">
        <v>6075000</v>
      </c>
      <c r="K19" s="31" t="n">
        <v>6018000</v>
      </c>
      <c r="L19" s="31" t="n">
        <v>6070000</v>
      </c>
      <c r="M19" s="31" t="n">
        <v>6163000</v>
      </c>
      <c r="N19" s="31" t="n">
        <v>7519000</v>
      </c>
      <c r="O19" s="31" t="n">
        <v>7884000</v>
      </c>
      <c r="P19" s="31" t="n">
        <v>7982000</v>
      </c>
      <c r="Q19" s="31" t="n">
        <v>8395000</v>
      </c>
      <c r="R19" s="31" t="n">
        <v>8831000</v>
      </c>
      <c r="S19" s="27">
        <f>S12*Inputs_Scenarios!$F$27</f>
        <v/>
      </c>
      <c r="T19" s="27">
        <f>T12*Inputs_Scenarios!$F$27</f>
        <v/>
      </c>
      <c r="U19" s="27">
        <f>U12*Inputs_Scenarios!$F$27</f>
        <v/>
      </c>
      <c r="V19" s="27">
        <f>V12*Inputs_Scenarios!$F$27</f>
        <v/>
      </c>
    </row>
    <row r="20">
      <c r="A20" s="4" t="inlineStr">
        <is>
          <t>sbc_cost_services</t>
        </is>
      </c>
      <c r="B20" s="24" t="inlineStr">
        <is>
          <t>Stock-based compensation in cost services</t>
        </is>
      </c>
      <c r="C20" s="4" t="inlineStr"/>
      <c r="D20" s="31" t="n">
        <v>1852000</v>
      </c>
      <c r="E20" s="31" t="n">
        <v>2212000</v>
      </c>
      <c r="F20" s="31" t="n">
        <v>2560000</v>
      </c>
      <c r="G20" s="31" t="n">
        <v>2827000</v>
      </c>
      <c r="H20" s="31" t="n">
        <v>2966000</v>
      </c>
      <c r="I20" s="31" t="n">
        <v>2948000</v>
      </c>
      <c r="J20" s="31" t="n">
        <v>3342000</v>
      </c>
      <c r="K20" s="31" t="n">
        <v>3200000</v>
      </c>
      <c r="L20" s="31" t="n">
        <v>3243000</v>
      </c>
      <c r="M20" s="31" t="n">
        <v>3255000</v>
      </c>
      <c r="N20" s="31" t="n">
        <v>3401000</v>
      </c>
      <c r="O20" s="31" t="n">
        <v>3495000</v>
      </c>
      <c r="P20" s="31" t="n">
        <v>3766000</v>
      </c>
      <c r="Q20" s="31" t="n">
        <v>3894000</v>
      </c>
      <c r="R20" s="31" t="n">
        <v>4273000</v>
      </c>
      <c r="S20" s="27">
        <f>S12*Inputs_Scenarios!$F$28</f>
        <v/>
      </c>
      <c r="T20" s="27">
        <f>T12*Inputs_Scenarios!$F$28</f>
        <v/>
      </c>
      <c r="U20" s="27">
        <f>U12*Inputs_Scenarios!$F$28</f>
        <v/>
      </c>
      <c r="V20" s="27">
        <f>V12*Inputs_Scenarios!$F$28</f>
        <v/>
      </c>
    </row>
    <row r="21">
      <c r="A21" s="4" t="inlineStr">
        <is>
          <t>sbc_rnd</t>
        </is>
      </c>
      <c r="B21" s="24" t="inlineStr">
        <is>
          <t>Stock-based compensation in rnd</t>
        </is>
      </c>
      <c r="C21" s="4" t="inlineStr"/>
      <c r="D21" s="31" t="n">
        <v>31108000</v>
      </c>
      <c r="E21" s="31" t="n">
        <v>35483000</v>
      </c>
      <c r="F21" s="31" t="n">
        <v>40642000</v>
      </c>
      <c r="G21" s="31" t="n">
        <v>41458000</v>
      </c>
      <c r="H21" s="31" t="n">
        <v>41516000</v>
      </c>
      <c r="I21" s="31" t="n">
        <v>44066000</v>
      </c>
      <c r="J21" s="31" t="n">
        <v>48413000</v>
      </c>
      <c r="K21" s="31" t="n">
        <v>50759000</v>
      </c>
      <c r="L21" s="31" t="n">
        <v>55689000</v>
      </c>
      <c r="M21" s="31" t="n">
        <v>55173000</v>
      </c>
      <c r="N21" s="31" t="n">
        <v>55188000</v>
      </c>
      <c r="O21" s="31" t="n">
        <v>57850000</v>
      </c>
      <c r="P21" s="31" t="n">
        <v>58156000</v>
      </c>
      <c r="Q21" s="31" t="n">
        <v>66405000</v>
      </c>
      <c r="R21" s="31" t="n">
        <v>75113000</v>
      </c>
      <c r="S21" s="27">
        <f>S12*Inputs_Scenarios!$F$22</f>
        <v/>
      </c>
      <c r="T21" s="27">
        <f>T12*Inputs_Scenarios!$F$22</f>
        <v/>
      </c>
      <c r="U21" s="27">
        <f>U12*Inputs_Scenarios!$F$22</f>
        <v/>
      </c>
      <c r="V21" s="27">
        <f>V12*Inputs_Scenarios!$F$22</f>
        <v/>
      </c>
    </row>
    <row r="22">
      <c r="A22" s="4" t="inlineStr">
        <is>
          <t>sbc_snm</t>
        </is>
      </c>
      <c r="B22" s="24" t="inlineStr">
        <is>
          <t>Stock-based compensation in snm</t>
        </is>
      </c>
      <c r="C22" s="4" t="inlineStr"/>
      <c r="D22" s="31" t="n">
        <v>27198000</v>
      </c>
      <c r="E22" s="31" t="n">
        <v>30534000</v>
      </c>
      <c r="F22" s="31" t="n">
        <v>35653000</v>
      </c>
      <c r="G22" s="31" t="n">
        <v>38352000</v>
      </c>
      <c r="H22" s="31" t="n">
        <v>38534000</v>
      </c>
      <c r="I22" s="31" t="n">
        <v>37606000</v>
      </c>
      <c r="J22" s="31" t="n">
        <v>40376000</v>
      </c>
      <c r="K22" s="31" t="n">
        <v>40585000</v>
      </c>
      <c r="L22" s="31" t="n">
        <v>41340000</v>
      </c>
      <c r="M22" s="31" t="n">
        <v>39613000</v>
      </c>
      <c r="N22" s="31" t="n">
        <v>41040000</v>
      </c>
      <c r="O22" s="31" t="n">
        <v>40540000</v>
      </c>
      <c r="P22" s="31" t="n">
        <v>40124000</v>
      </c>
      <c r="Q22" s="31" t="n">
        <v>39102000</v>
      </c>
      <c r="R22" s="31" t="n">
        <v>36265000</v>
      </c>
      <c r="S22" s="27">
        <f>S12*Inputs_Scenarios!$F$24</f>
        <v/>
      </c>
      <c r="T22" s="27">
        <f>T12*Inputs_Scenarios!$F$24</f>
        <v/>
      </c>
      <c r="U22" s="27">
        <f>U12*Inputs_Scenarios!$F$24</f>
        <v/>
      </c>
      <c r="V22" s="27">
        <f>V12*Inputs_Scenarios!$F$24</f>
        <v/>
      </c>
    </row>
    <row r="23">
      <c r="A23" s="4" t="inlineStr">
        <is>
          <t>sbc_gna</t>
        </is>
      </c>
      <c r="B23" s="24" t="inlineStr">
        <is>
          <t>Stock-based compensation in gna</t>
        </is>
      </c>
      <c r="C23" s="4" t="inlineStr"/>
      <c r="D23" s="31" t="n">
        <v>9519000</v>
      </c>
      <c r="E23" s="31" t="n">
        <v>10870000</v>
      </c>
      <c r="F23" s="31" t="n">
        <v>12690000</v>
      </c>
      <c r="G23" s="31" t="n">
        <v>11545000</v>
      </c>
      <c r="H23" s="31" t="n">
        <v>13930000</v>
      </c>
      <c r="I23" s="31" t="n">
        <v>13821000</v>
      </c>
      <c r="J23" s="31" t="n">
        <v>15106000</v>
      </c>
      <c r="K23" s="31" t="n">
        <v>15267000</v>
      </c>
      <c r="L23" s="31" t="n">
        <v>17469000</v>
      </c>
      <c r="M23" s="31" t="n">
        <v>16559000</v>
      </c>
      <c r="N23" s="31" t="n">
        <v>15275000</v>
      </c>
      <c r="O23" s="31" t="n">
        <v>15943000</v>
      </c>
      <c r="P23" s="31" t="n">
        <v>15014000</v>
      </c>
      <c r="Q23" s="31" t="n">
        <v>14635000</v>
      </c>
      <c r="R23" s="31" t="n">
        <v>15918000</v>
      </c>
      <c r="S23" s="27">
        <f>S12*Inputs_Scenarios!$F$26</f>
        <v/>
      </c>
      <c r="T23" s="27">
        <f>T12*Inputs_Scenarios!$F$26</f>
        <v/>
      </c>
      <c r="U23" s="27">
        <f>U12*Inputs_Scenarios!$F$26</f>
        <v/>
      </c>
      <c r="V23" s="27">
        <f>V12*Inputs_Scenarios!$F$26</f>
        <v/>
      </c>
    </row>
    <row r="24">
      <c r="A24" s="4" t="inlineStr">
        <is>
          <t>rnd</t>
        </is>
      </c>
      <c r="B24" s="24" t="inlineStr">
        <is>
          <t>Research and development</t>
        </is>
      </c>
      <c r="C24" s="4" t="inlineStr"/>
      <c r="D24" s="31" t="n">
        <v>89417000</v>
      </c>
      <c r="E24" s="31" t="n">
        <v>96372000</v>
      </c>
      <c r="F24" s="31" t="n">
        <v>108037000</v>
      </c>
      <c r="G24" s="31" t="n">
        <v>106392000</v>
      </c>
      <c r="H24" s="31" t="n">
        <v>110891000</v>
      </c>
      <c r="I24" s="31" t="n">
        <v>116817000</v>
      </c>
      <c r="J24" s="31" t="n">
        <v>125420000</v>
      </c>
      <c r="K24" s="31" t="n">
        <v>128150000</v>
      </c>
      <c r="L24" s="31" t="n">
        <v>145553000</v>
      </c>
      <c r="M24" s="31" t="n">
        <v>146060000</v>
      </c>
      <c r="N24" s="31" t="n">
        <v>148967000</v>
      </c>
      <c r="O24" s="31" t="n">
        <v>151410000</v>
      </c>
      <c r="P24" s="31" t="n">
        <v>150400000</v>
      </c>
      <c r="Q24" s="31" t="n">
        <v>168829000</v>
      </c>
      <c r="R24" s="31" t="n">
        <v>181739000</v>
      </c>
      <c r="S24" s="27">
        <f>'Headcount_Opex_Build'!S10+S21</f>
        <v/>
      </c>
      <c r="T24" s="27">
        <f>'Headcount_Opex_Build'!T10+T21</f>
        <v/>
      </c>
      <c r="U24" s="27">
        <f>'Headcount_Opex_Build'!U10+U21</f>
        <v/>
      </c>
      <c r="V24" s="27">
        <f>'Headcount_Opex_Build'!V10+V21</f>
        <v/>
      </c>
    </row>
    <row r="25">
      <c r="A25" s="4" t="inlineStr">
        <is>
          <t>snm</t>
        </is>
      </c>
      <c r="B25" s="24" t="inlineStr">
        <is>
          <t>Sales and marketing</t>
        </is>
      </c>
      <c r="C25" s="4" t="inlineStr"/>
      <c r="D25" s="31" t="n">
        <v>144263000</v>
      </c>
      <c r="E25" s="31" t="n">
        <v>150268000</v>
      </c>
      <c r="F25" s="31" t="n">
        <v>181598000</v>
      </c>
      <c r="G25" s="31" t="n">
        <v>177419000</v>
      </c>
      <c r="H25" s="31" t="n">
        <v>189916000</v>
      </c>
      <c r="I25" s="31" t="n">
        <v>182733000</v>
      </c>
      <c r="J25" s="31" t="n">
        <v>195934000</v>
      </c>
      <c r="K25" s="31" t="n">
        <v>192977000</v>
      </c>
      <c r="L25" s="31" t="n">
        <v>211116000</v>
      </c>
      <c r="M25" s="31" t="n">
        <v>219444000</v>
      </c>
      <c r="N25" s="31" t="n">
        <v>221539000</v>
      </c>
      <c r="O25" s="31" t="n">
        <v>217954000</v>
      </c>
      <c r="P25" s="31" t="n">
        <v>212211000</v>
      </c>
      <c r="Q25" s="31" t="n">
        <v>220923000</v>
      </c>
      <c r="R25" s="31" t="n">
        <v>244065000</v>
      </c>
      <c r="S25" s="27">
        <f>'Headcount_Opex_Build'!S12+S22</f>
        <v/>
      </c>
      <c r="T25" s="27">
        <f>'Headcount_Opex_Build'!T12+T22</f>
        <v/>
      </c>
      <c r="U25" s="27">
        <f>'Headcount_Opex_Build'!U12+U22</f>
        <v/>
      </c>
      <c r="V25" s="27">
        <f>'Headcount_Opex_Build'!V12+V22</f>
        <v/>
      </c>
    </row>
    <row r="26">
      <c r="A26" s="4" t="inlineStr">
        <is>
          <t>gna</t>
        </is>
      </c>
      <c r="B26" s="24" t="inlineStr">
        <is>
          <t>General and administrative</t>
        </is>
      </c>
      <c r="C26" s="4" t="inlineStr"/>
      <c r="D26" s="31" t="n">
        <v>35635000</v>
      </c>
      <c r="E26" s="31" t="n">
        <v>36532000</v>
      </c>
      <c r="F26" s="31" t="n">
        <v>40591000</v>
      </c>
      <c r="G26" s="31" t="n">
        <v>39081000</v>
      </c>
      <c r="H26" s="31" t="n">
        <v>44294000</v>
      </c>
      <c r="I26" s="31" t="n">
        <v>39828000</v>
      </c>
      <c r="J26" s="31" t="n">
        <v>46103000</v>
      </c>
      <c r="K26" s="31" t="n">
        <v>49969000</v>
      </c>
      <c r="L26" s="31" t="n">
        <v>57658000</v>
      </c>
      <c r="M26" s="31" t="n">
        <v>60546000</v>
      </c>
      <c r="N26" s="31" t="n">
        <v>50790000</v>
      </c>
      <c r="O26" s="31" t="n">
        <v>52556000</v>
      </c>
      <c r="P26" s="31" t="n">
        <v>55334000</v>
      </c>
      <c r="Q26" s="31" t="n">
        <v>54775000</v>
      </c>
      <c r="R26" s="31" t="n">
        <v>59464000</v>
      </c>
      <c r="S26" s="27">
        <f>'Headcount_Opex_Build'!S14+S23</f>
        <v/>
      </c>
      <c r="T26" s="27">
        <f>'Headcount_Opex_Build'!T14+T23</f>
        <v/>
      </c>
      <c r="U26" s="27">
        <f>'Headcount_Opex_Build'!U14+U23</f>
        <v/>
      </c>
      <c r="V26" s="27">
        <f>'Headcount_Opex_Build'!V14+V23</f>
        <v/>
      </c>
    </row>
    <row r="27">
      <c r="A27" s="4" t="inlineStr">
        <is>
          <t>opex</t>
        </is>
      </c>
      <c r="B27" s="2" t="inlineStr">
        <is>
          <t>Total operating expenses</t>
        </is>
      </c>
      <c r="C27" s="4" t="inlineStr"/>
      <c r="D27" s="28">
        <f>D24+D25+D26</f>
        <v/>
      </c>
      <c r="E27" s="28">
        <f>E24+E25+E26</f>
        <v/>
      </c>
      <c r="F27" s="28">
        <f>F24+F25+F26</f>
        <v/>
      </c>
      <c r="G27" s="28">
        <f>G24+G25+G26</f>
        <v/>
      </c>
      <c r="H27" s="28">
        <f>H24+H25+H26</f>
        <v/>
      </c>
      <c r="I27" s="28">
        <f>I24+I25+I26</f>
        <v/>
      </c>
      <c r="J27" s="28">
        <f>J24+J25+J26</f>
        <v/>
      </c>
      <c r="K27" s="28">
        <f>K24+K25+K26</f>
        <v/>
      </c>
      <c r="L27" s="28">
        <f>L24+L25+L26</f>
        <v/>
      </c>
      <c r="M27" s="28">
        <f>M24+M25+M26</f>
        <v/>
      </c>
      <c r="N27" s="28">
        <f>N24+N25+N26</f>
        <v/>
      </c>
      <c r="O27" s="28">
        <f>O24+O25+O26</f>
        <v/>
      </c>
      <c r="P27" s="28">
        <f>P24+P25+P26</f>
        <v/>
      </c>
      <c r="Q27" s="28">
        <f>Q24+Q25+Q26</f>
        <v/>
      </c>
      <c r="R27" s="28">
        <f>R24+R25+R26</f>
        <v/>
      </c>
      <c r="S27" s="29">
        <f>S24+S25+S26</f>
        <v/>
      </c>
      <c r="T27" s="29">
        <f>T24+T25+T26</f>
        <v/>
      </c>
      <c r="U27" s="29">
        <f>U24+U25+U26</f>
        <v/>
      </c>
      <c r="V27" s="29">
        <f>V24+V25+V26</f>
        <v/>
      </c>
    </row>
    <row r="28">
      <c r="A28" s="4" t="inlineStr">
        <is>
          <t>op_inc</t>
        </is>
      </c>
      <c r="B28" s="2" t="inlineStr">
        <is>
          <t>GAAP operating income (loss)</t>
        </is>
      </c>
      <c r="C28" s="4" t="inlineStr"/>
      <c r="D28" s="28">
        <f>D17-D27</f>
        <v/>
      </c>
      <c r="E28" s="28">
        <f>E17-E27</f>
        <v/>
      </c>
      <c r="F28" s="28">
        <f>F17-F27</f>
        <v/>
      </c>
      <c r="G28" s="28">
        <f>G17-G27</f>
        <v/>
      </c>
      <c r="H28" s="28">
        <f>H17-H27</f>
        <v/>
      </c>
      <c r="I28" s="28">
        <f>I17-I27</f>
        <v/>
      </c>
      <c r="J28" s="28">
        <f>J17-J27</f>
        <v/>
      </c>
      <c r="K28" s="28">
        <f>K17-K27</f>
        <v/>
      </c>
      <c r="L28" s="28">
        <f>L17-L27</f>
        <v/>
      </c>
      <c r="M28" s="28">
        <f>M17-M27</f>
        <v/>
      </c>
      <c r="N28" s="28">
        <f>N17-N27</f>
        <v/>
      </c>
      <c r="O28" s="28">
        <f>O17-O27</f>
        <v/>
      </c>
      <c r="P28" s="28">
        <f>P17-P27</f>
        <v/>
      </c>
      <c r="Q28" s="28">
        <f>Q17-Q27</f>
        <v/>
      </c>
      <c r="R28" s="28">
        <f>R17-R27</f>
        <v/>
      </c>
      <c r="S28" s="29">
        <f>S17-S27</f>
        <v/>
      </c>
      <c r="T28" s="29">
        <f>T17-T27</f>
        <v/>
      </c>
      <c r="U28" s="29">
        <f>U17-U27</f>
        <v/>
      </c>
      <c r="V28" s="29">
        <f>V17-V27</f>
        <v/>
      </c>
    </row>
    <row r="29">
      <c r="A29" s="4" t="inlineStr">
        <is>
          <t>op_inc_reported</t>
        </is>
      </c>
      <c r="B29" s="24" t="inlineStr">
        <is>
          <t>GAAP operating income, as reported (check)</t>
        </is>
      </c>
      <c r="C29" s="4" t="inlineStr"/>
      <c r="D29" s="31" t="n">
        <v>-78619000</v>
      </c>
      <c r="E29" s="31" t="n">
        <v>-75940000</v>
      </c>
      <c r="F29" s="31" t="n">
        <v>-114843000</v>
      </c>
      <c r="G29" s="31" t="n">
        <v>-82923000</v>
      </c>
      <c r="H29" s="31" t="n">
        <v>-72949000</v>
      </c>
      <c r="I29" s="31" t="n">
        <v>-68547000</v>
      </c>
      <c r="J29" s="31" t="n">
        <v>-49003000</v>
      </c>
      <c r="K29" s="31" t="n">
        <v>-45216000</v>
      </c>
      <c r="L29" s="31" t="n">
        <v>-70966000</v>
      </c>
      <c r="M29" s="31" t="n">
        <v>-98186000</v>
      </c>
      <c r="N29" s="31" t="n">
        <v>-71440000</v>
      </c>
      <c r="O29" s="31" t="n">
        <v>-27876000</v>
      </c>
      <c r="P29" s="31" t="n">
        <v>-18562000</v>
      </c>
      <c r="Q29" s="31" t="n">
        <v>-53554000</v>
      </c>
      <c r="R29" s="31" t="n">
        <v>-65294000</v>
      </c>
    </row>
    <row r="30">
      <c r="A30" s="4" t="inlineStr">
        <is>
          <t>op_margin</t>
        </is>
      </c>
      <c r="B30" s="24" t="inlineStr">
        <is>
          <t>GAAP operating margin</t>
        </is>
      </c>
      <c r="C30" s="4" t="inlineStr"/>
      <c r="D30" s="36">
        <f>D28/D12</f>
        <v/>
      </c>
      <c r="E30" s="36">
        <f>E28/E12</f>
        <v/>
      </c>
      <c r="F30" s="36">
        <f>F28/F12</f>
        <v/>
      </c>
      <c r="G30" s="36">
        <f>G28/G12</f>
        <v/>
      </c>
      <c r="H30" s="36">
        <f>H28/H12</f>
        <v/>
      </c>
      <c r="I30" s="36">
        <f>I28/I12</f>
        <v/>
      </c>
      <c r="J30" s="36">
        <f>J28/J12</f>
        <v/>
      </c>
      <c r="K30" s="36">
        <f>K28/K12</f>
        <v/>
      </c>
      <c r="L30" s="36">
        <f>L28/L12</f>
        <v/>
      </c>
      <c r="M30" s="36">
        <f>M28/M12</f>
        <v/>
      </c>
      <c r="N30" s="36">
        <f>N28/N12</f>
        <v/>
      </c>
      <c r="O30" s="36">
        <f>O28/O12</f>
        <v/>
      </c>
      <c r="P30" s="36">
        <f>P28/P12</f>
        <v/>
      </c>
      <c r="Q30" s="36">
        <f>Q28/Q12</f>
        <v/>
      </c>
      <c r="R30" s="36">
        <f>R28/R12</f>
        <v/>
      </c>
      <c r="S30" s="30">
        <f>S28/S12</f>
        <v/>
      </c>
      <c r="T30" s="30">
        <f>T28/T12</f>
        <v/>
      </c>
      <c r="U30" s="30">
        <f>U28/U12</f>
        <v/>
      </c>
      <c r="V30" s="30">
        <f>V28/V12</f>
        <v/>
      </c>
    </row>
    <row r="31">
      <c r="A31" s="4" t="inlineStr">
        <is>
          <t>sbc_total</t>
        </is>
      </c>
      <c r="B31" s="24" t="inlineStr">
        <is>
          <t>Stock-based compensation, total</t>
        </is>
      </c>
      <c r="C31" s="4" t="inlineStr"/>
      <c r="D31" s="26">
        <f>D19+D20+D21+D22+D23</f>
        <v/>
      </c>
      <c r="E31" s="26">
        <f>E19+E20+E21+E22+E23</f>
        <v/>
      </c>
      <c r="F31" s="26">
        <f>F19+F20+F21+F22+F23</f>
        <v/>
      </c>
      <c r="G31" s="26">
        <f>G19+G20+G21+G22+G23</f>
        <v/>
      </c>
      <c r="H31" s="26">
        <f>H19+H20+H21+H22+H23</f>
        <v/>
      </c>
      <c r="I31" s="26">
        <f>I19+I20+I21+I22+I23</f>
        <v/>
      </c>
      <c r="J31" s="26">
        <f>J19+J20+J21+J22+J23</f>
        <v/>
      </c>
      <c r="K31" s="26">
        <f>K19+K20+K21+K22+K23</f>
        <v/>
      </c>
      <c r="L31" s="26">
        <f>L19+L20+L21+L22+L23</f>
        <v/>
      </c>
      <c r="M31" s="26">
        <f>M19+M20+M21+M22+M23</f>
        <v/>
      </c>
      <c r="N31" s="26">
        <f>N19+N20+N21+N22+N23</f>
        <v/>
      </c>
      <c r="O31" s="26">
        <f>O19+O20+O21+O22+O23</f>
        <v/>
      </c>
      <c r="P31" s="26">
        <f>P19+P20+P21+P22+P23</f>
        <v/>
      </c>
      <c r="Q31" s="26">
        <f>Q19+Q20+Q21+Q22+Q23</f>
        <v/>
      </c>
      <c r="R31" s="26">
        <f>R19+R20+R21+R22+R23</f>
        <v/>
      </c>
      <c r="S31" s="27">
        <f>S19+S20+S21+S22+S23</f>
        <v/>
      </c>
      <c r="T31" s="27">
        <f>T19+T20+T21+T22+T23</f>
        <v/>
      </c>
      <c r="U31" s="27">
        <f>U19+U20+U21+U22+U23</f>
        <v/>
      </c>
      <c r="V31" s="27">
        <f>V19+V20+V21+V22+V23</f>
        <v/>
      </c>
    </row>
    <row r="32">
      <c r="A32" s="4" t="inlineStr">
        <is>
          <t>amort</t>
        </is>
      </c>
      <c r="B32" s="24" t="inlineStr">
        <is>
          <t>Amortization of intangibles</t>
        </is>
      </c>
      <c r="C32" s="4" t="inlineStr"/>
      <c r="D32" s="31" t="n">
        <v>2300000</v>
      </c>
      <c r="E32" s="31" t="n">
        <v>2300000</v>
      </c>
      <c r="F32" s="31" t="n">
        <v>2300000</v>
      </c>
      <c r="G32" s="31" t="n">
        <v>2300000</v>
      </c>
      <c r="H32" s="31" t="n">
        <v>2300000</v>
      </c>
      <c r="I32" s="31" t="n">
        <v>2300000</v>
      </c>
      <c r="J32" s="31" t="n">
        <v>2300000</v>
      </c>
      <c r="K32" s="31" t="n">
        <v>2800000</v>
      </c>
      <c r="L32" s="31" t="n">
        <v>3200000</v>
      </c>
      <c r="M32" s="31" t="n">
        <v>2700000</v>
      </c>
      <c r="N32" s="31" t="n">
        <v>100000</v>
      </c>
      <c r="O32" s="31" t="n">
        <v>200000</v>
      </c>
      <c r="P32" s="31" t="n">
        <v>300000</v>
      </c>
      <c r="Q32" s="31" t="n">
        <v>3100000</v>
      </c>
      <c r="R32" s="31" t="n">
        <v>3800000</v>
      </c>
      <c r="S32" s="27">
        <f>Inputs_Scenarios!$F$20</f>
        <v/>
      </c>
      <c r="T32" s="27">
        <f>Inputs_Scenarios!$F$20</f>
        <v/>
      </c>
      <c r="U32" s="27">
        <f>Inputs_Scenarios!$F$20</f>
        <v/>
      </c>
      <c r="V32" s="27">
        <f>Inputs_Scenarios!$F$20</f>
        <v/>
      </c>
    </row>
    <row r="33">
      <c r="A33" s="4" t="inlineStr">
        <is>
          <t>ng_op_inc</t>
        </is>
      </c>
      <c r="B33" s="2" t="inlineStr">
        <is>
          <t>Non-GAAP operating income (excl. SBC and amortization)</t>
        </is>
      </c>
      <c r="C33" s="4" t="inlineStr"/>
      <c r="D33" s="28">
        <f>D28+D31+D32</f>
        <v/>
      </c>
      <c r="E33" s="28">
        <f>E28+E31+E32</f>
        <v/>
      </c>
      <c r="F33" s="28">
        <f>F28+F31+F32</f>
        <v/>
      </c>
      <c r="G33" s="28">
        <f>G28+G31+G32</f>
        <v/>
      </c>
      <c r="H33" s="28">
        <f>H28+H31+H32</f>
        <v/>
      </c>
      <c r="I33" s="28">
        <f>I28+I31+I32</f>
        <v/>
      </c>
      <c r="J33" s="28">
        <f>J28+J31+J32</f>
        <v/>
      </c>
      <c r="K33" s="28">
        <f>K28+K31+K32</f>
        <v/>
      </c>
      <c r="L33" s="28">
        <f>L28+L31+L32</f>
        <v/>
      </c>
      <c r="M33" s="28">
        <f>M28+M31+M32</f>
        <v/>
      </c>
      <c r="N33" s="28">
        <f>N28+N31+N32</f>
        <v/>
      </c>
      <c r="O33" s="28">
        <f>O28+O31+O32</f>
        <v/>
      </c>
      <c r="P33" s="28">
        <f>P28+P31+P32</f>
        <v/>
      </c>
      <c r="Q33" s="28">
        <f>Q28+Q31+Q32</f>
        <v/>
      </c>
      <c r="R33" s="28">
        <f>R28+R31+R32</f>
        <v/>
      </c>
      <c r="S33" s="29">
        <f>S28+S31+S32</f>
        <v/>
      </c>
      <c r="T33" s="29">
        <f>T28+T31+T32</f>
        <v/>
      </c>
      <c r="U33" s="29">
        <f>U28+U31+U32</f>
        <v/>
      </c>
      <c r="V33" s="29">
        <f>V28+V31+V32</f>
        <v/>
      </c>
    </row>
    <row r="34">
      <c r="A34" s="4" t="inlineStr">
        <is>
          <t>ng_op_margin</t>
        </is>
      </c>
      <c r="B34" s="24" t="inlineStr">
        <is>
          <t>Non-GAAP operating margin</t>
        </is>
      </c>
      <c r="C34" s="4" t="inlineStr"/>
      <c r="D34" s="36">
        <f>D33/D12</f>
        <v/>
      </c>
      <c r="E34" s="36">
        <f>E33/E12</f>
        <v/>
      </c>
      <c r="F34" s="36">
        <f>F33/F12</f>
        <v/>
      </c>
      <c r="G34" s="36">
        <f>G33/G12</f>
        <v/>
      </c>
      <c r="H34" s="36">
        <f>H33/H12</f>
        <v/>
      </c>
      <c r="I34" s="36">
        <f>I33/I12</f>
        <v/>
      </c>
      <c r="J34" s="36">
        <f>J33/J12</f>
        <v/>
      </c>
      <c r="K34" s="36">
        <f>K33/K12</f>
        <v/>
      </c>
      <c r="L34" s="36">
        <f>L33/L12</f>
        <v/>
      </c>
      <c r="M34" s="36">
        <f>M33/M12</f>
        <v/>
      </c>
      <c r="N34" s="36">
        <f>N33/N12</f>
        <v/>
      </c>
      <c r="O34" s="36">
        <f>O33/O12</f>
        <v/>
      </c>
      <c r="P34" s="36">
        <f>P33/P12</f>
        <v/>
      </c>
      <c r="Q34" s="36">
        <f>Q33/Q12</f>
        <v/>
      </c>
      <c r="R34" s="36">
        <f>R33/R12</f>
        <v/>
      </c>
      <c r="S34" s="30">
        <f>S33/S12</f>
        <v/>
      </c>
      <c r="T34" s="30">
        <f>T33/T12</f>
        <v/>
      </c>
      <c r="U34" s="30">
        <f>U33/U12</f>
        <v/>
      </c>
      <c r="V34" s="30">
        <f>V33/V12</f>
        <v/>
      </c>
    </row>
    <row r="35">
      <c r="A35" s="4" t="inlineStr">
        <is>
          <t>cfo</t>
        </is>
      </c>
      <c r="B35" s="24" t="inlineStr">
        <is>
          <t>Operating cash flow</t>
        </is>
      </c>
      <c r="C35" s="4" t="inlineStr"/>
      <c r="D35" s="31" t="n">
        <v>22311000</v>
      </c>
      <c r="E35" s="31" t="n">
        <v>11574000</v>
      </c>
      <c r="F35" s="31" t="n">
        <v>-44671000</v>
      </c>
      <c r="G35" s="31" t="n">
        <v>-5744000</v>
      </c>
      <c r="H35" s="31" t="n">
        <v>25871000</v>
      </c>
      <c r="I35" s="31" t="n">
        <v>53730000</v>
      </c>
      <c r="J35" s="31" t="n">
        <v>-25302000</v>
      </c>
      <c r="K35" s="31" t="n">
        <v>38422000</v>
      </c>
      <c r="L35" s="31" t="n">
        <v>54627000</v>
      </c>
      <c r="M35" s="31" t="n">
        <v>63613000</v>
      </c>
      <c r="N35" s="31" t="n">
        <v>-1398000</v>
      </c>
      <c r="O35" s="31" t="n">
        <v>37438000</v>
      </c>
      <c r="P35" s="31" t="n">
        <v>50538000</v>
      </c>
      <c r="Q35" s="31" t="n">
        <v>109929000</v>
      </c>
      <c r="R35" s="31" t="n">
        <v>72105000</v>
      </c>
    </row>
    <row r="36">
      <c r="A36" s="4" t="inlineStr">
        <is>
          <t>capex</t>
        </is>
      </c>
      <c r="B36" s="24" t="inlineStr">
        <is>
          <t>Capital expenditures</t>
        </is>
      </c>
      <c r="C36" s="4" t="inlineStr"/>
      <c r="D36" s="31" t="n">
        <v>3556000</v>
      </c>
      <c r="E36" s="31" t="n">
        <v>2538000</v>
      </c>
      <c r="F36" s="31" t="n">
        <v>2614000</v>
      </c>
      <c r="G36" s="31" t="n">
        <v>1381000</v>
      </c>
      <c r="H36" s="31" t="n">
        <v>711000</v>
      </c>
      <c r="I36" s="31" t="n">
        <v>623000</v>
      </c>
      <c r="J36" s="31" t="n">
        <v>635000</v>
      </c>
      <c r="K36" s="31" t="n">
        <v>2078000</v>
      </c>
      <c r="L36" s="31" t="n">
        <v>2738000</v>
      </c>
      <c r="M36" s="31" t="n">
        <v>539000</v>
      </c>
      <c r="N36" s="31" t="n">
        <v>1051000</v>
      </c>
      <c r="O36" s="31" t="n">
        <v>1981000</v>
      </c>
      <c r="P36" s="31" t="n">
        <v>25979000</v>
      </c>
      <c r="Q36" s="31" t="n">
        <v>1611000</v>
      </c>
      <c r="R36" s="31" t="n">
        <v>537000</v>
      </c>
    </row>
    <row r="37">
      <c r="A37" s="4" t="inlineStr">
        <is>
          <t>fcf</t>
        </is>
      </c>
      <c r="B37" s="2" t="inlineStr">
        <is>
          <t>Free cash flow</t>
        </is>
      </c>
      <c r="C37" s="4" t="inlineStr"/>
      <c r="D37" s="28">
        <f>D35-D36</f>
        <v/>
      </c>
      <c r="E37" s="28">
        <f>E35-E36</f>
        <v/>
      </c>
      <c r="F37" s="28">
        <f>F35-F36</f>
        <v/>
      </c>
      <c r="G37" s="28">
        <f>G35-G36</f>
        <v/>
      </c>
      <c r="H37" s="28">
        <f>H35-H36</f>
        <v/>
      </c>
      <c r="I37" s="28">
        <f>I35-I36</f>
        <v/>
      </c>
      <c r="J37" s="28">
        <f>J35-J36</f>
        <v/>
      </c>
      <c r="K37" s="28">
        <f>K35-K36</f>
        <v/>
      </c>
      <c r="L37" s="28">
        <f>L35-L36</f>
        <v/>
      </c>
      <c r="M37" s="28">
        <f>M35-M36</f>
        <v/>
      </c>
      <c r="N37" s="28">
        <f>N35-N36</f>
        <v/>
      </c>
      <c r="O37" s="28">
        <f>O35-O36</f>
        <v/>
      </c>
      <c r="P37" s="28">
        <f>P35-P36</f>
        <v/>
      </c>
      <c r="Q37" s="28">
        <f>Q35-Q36</f>
        <v/>
      </c>
      <c r="R37" s="28">
        <f>R35-R36</f>
        <v/>
      </c>
      <c r="S37" s="29">
        <f>S33*INDEX(Inputs_Scenarios!$F$29:$F$32,S6)</f>
        <v/>
      </c>
      <c r="T37" s="29">
        <f>T33*INDEX(Inputs_Scenarios!$F$29:$F$32,T6)</f>
        <v/>
      </c>
      <c r="U37" s="29">
        <f>U33*INDEX(Inputs_Scenarios!$F$29:$F$32,U6)</f>
        <v/>
      </c>
      <c r="V37" s="29">
        <f>V33*INDEX(Inputs_Scenarios!$F$29:$F$32,V6)</f>
        <v/>
      </c>
    </row>
    <row r="38">
      <c r="A38" s="4" t="inlineStr">
        <is>
          <t>fcf_margin</t>
        </is>
      </c>
      <c r="B38" s="24" t="inlineStr">
        <is>
          <t>FCF margin</t>
        </is>
      </c>
      <c r="C38" s="4" t="inlineStr"/>
      <c r="D38" s="36">
        <f>D37/D12</f>
        <v/>
      </c>
      <c r="E38" s="36">
        <f>E37/E12</f>
        <v/>
      </c>
      <c r="F38" s="36">
        <f>F37/F12</f>
        <v/>
      </c>
      <c r="G38" s="36">
        <f>G37/G12</f>
        <v/>
      </c>
      <c r="H38" s="36">
        <f>H37/H12</f>
        <v/>
      </c>
      <c r="I38" s="36">
        <f>I37/I12</f>
        <v/>
      </c>
      <c r="J38" s="36">
        <f>J37/J12</f>
        <v/>
      </c>
      <c r="K38" s="36">
        <f>K37/K12</f>
        <v/>
      </c>
      <c r="L38" s="36">
        <f>L37/L12</f>
        <v/>
      </c>
      <c r="M38" s="36">
        <f>M37/M12</f>
        <v/>
      </c>
      <c r="N38" s="36">
        <f>N37/N12</f>
        <v/>
      </c>
      <c r="O38" s="36">
        <f>O37/O12</f>
        <v/>
      </c>
      <c r="P38" s="36">
        <f>P37/P12</f>
        <v/>
      </c>
      <c r="Q38" s="36">
        <f>Q37/Q12</f>
        <v/>
      </c>
      <c r="R38" s="36">
        <f>R37/R12</f>
        <v/>
      </c>
      <c r="S38" s="30">
        <f>S37/S12</f>
        <v/>
      </c>
      <c r="T38" s="30">
        <f>T37/T12</f>
        <v/>
      </c>
      <c r="U38" s="30">
        <f>U37/U12</f>
        <v/>
      </c>
      <c r="V38" s="30">
        <f>V37/V12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30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Budget vs actual: the frozen forecast scored against reported results</t>
        </is>
      </c>
    </row>
    <row r="2">
      <c r="B2" s="4" t="inlineStr">
        <is>
          <t>Fiscal label</t>
        </is>
      </c>
      <c r="D2" s="2" t="inlineStr">
        <is>
          <t>Q4 FY22</t>
        </is>
      </c>
      <c r="E2" s="2" t="inlineStr">
        <is>
          <t>Q1 FY23</t>
        </is>
      </c>
      <c r="F2" s="2" t="inlineStr">
        <is>
          <t>Q2 FY23</t>
        </is>
      </c>
      <c r="G2" s="2" t="inlineStr">
        <is>
          <t>Q3 FY23</t>
        </is>
      </c>
      <c r="H2" s="2" t="inlineStr">
        <is>
          <t>Q4 FY23</t>
        </is>
      </c>
      <c r="I2" s="2" t="inlineStr">
        <is>
          <t>Q1 FY24</t>
        </is>
      </c>
      <c r="J2" s="2" t="inlineStr">
        <is>
          <t>Q2 FY24</t>
        </is>
      </c>
      <c r="K2" s="2" t="inlineStr">
        <is>
          <t>Q3 FY24</t>
        </is>
      </c>
      <c r="L2" s="2" t="inlineStr">
        <is>
          <t>Q4 FY24</t>
        </is>
      </c>
      <c r="M2" s="2" t="inlineStr">
        <is>
          <t>Q1 FY25</t>
        </is>
      </c>
      <c r="N2" s="2" t="inlineStr">
        <is>
          <t>Q2 FY25</t>
        </is>
      </c>
      <c r="O2" s="2" t="inlineStr">
        <is>
          <t>Q3 FY25</t>
        </is>
      </c>
      <c r="P2" s="2" t="inlineStr">
        <is>
          <t>Q4 FY25</t>
        </is>
      </c>
      <c r="Q2" s="2" t="inlineStr">
        <is>
          <t>Q1 FY26</t>
        </is>
      </c>
      <c r="R2" s="2" t="inlineStr">
        <is>
          <t>Q2 FY26</t>
        </is>
      </c>
      <c r="S2" s="22" t="inlineStr">
        <is>
          <t>Q3 FY26</t>
        </is>
      </c>
      <c r="T2" s="22" t="inlineStr">
        <is>
          <t>Q4 FY26</t>
        </is>
      </c>
      <c r="U2" s="22" t="inlineStr">
        <is>
          <t>Q1 FY27</t>
        </is>
      </c>
      <c r="V2" s="22" t="inlineStr">
        <is>
          <t>Q2 FY27</t>
        </is>
      </c>
      <c r="W2" s="22" t="inlineStr">
        <is>
          <t>4Q</t>
        </is>
      </c>
    </row>
    <row r="3">
      <c r="B3" s="4" t="inlineStr">
        <is>
          <t>Period end</t>
        </is>
      </c>
      <c r="D3" s="2" t="inlineStr">
        <is>
          <t>2022-01-31</t>
        </is>
      </c>
      <c r="E3" s="2" t="inlineStr">
        <is>
          <t>2022-04-30</t>
        </is>
      </c>
      <c r="F3" s="2" t="inlineStr">
        <is>
          <t>2022-07-31</t>
        </is>
      </c>
      <c r="G3" s="2" t="inlineStr">
        <is>
          <t>2022-10-31</t>
        </is>
      </c>
      <c r="H3" s="2" t="inlineStr">
        <is>
          <t>2023-01-31</t>
        </is>
      </c>
      <c r="I3" s="2" t="inlineStr">
        <is>
          <t>2023-04-30</t>
        </is>
      </c>
      <c r="J3" s="2" t="inlineStr">
        <is>
          <t>2023-07-31</t>
        </is>
      </c>
      <c r="K3" s="2" t="inlineStr">
        <is>
          <t>2023-10-31</t>
        </is>
      </c>
      <c r="L3" s="2" t="inlineStr">
        <is>
          <t>2024-01-31</t>
        </is>
      </c>
      <c r="M3" s="2" t="inlineStr">
        <is>
          <t>2024-04-30</t>
        </is>
      </c>
      <c r="N3" s="2" t="inlineStr">
        <is>
          <t>2024-07-31</t>
        </is>
      </c>
      <c r="O3" s="2" t="inlineStr">
        <is>
          <t>2024-10-31</t>
        </is>
      </c>
      <c r="P3" s="2" t="inlineStr">
        <is>
          <t>2025-01-31</t>
        </is>
      </c>
      <c r="Q3" s="2" t="inlineStr">
        <is>
          <t>2025-04-30</t>
        </is>
      </c>
      <c r="R3" s="2" t="inlineStr">
        <is>
          <t>2025-07-31</t>
        </is>
      </c>
      <c r="S3" s="22" t="inlineStr">
        <is>
          <t>2025-10-31</t>
        </is>
      </c>
      <c r="T3" s="22" t="inlineStr">
        <is>
          <t>2026-01-31</t>
        </is>
      </c>
      <c r="U3" s="22" t="inlineStr">
        <is>
          <t>2026-04-30</t>
        </is>
      </c>
      <c r="V3" s="22" t="inlineStr">
        <is>
          <t>2026-07-31</t>
        </is>
      </c>
    </row>
    <row r="4">
      <c r="B4" s="4" t="inlineStr">
        <is>
          <t>Kind</t>
        </is>
      </c>
      <c r="D4" s="2" t="inlineStr">
        <is>
          <t>Actual</t>
        </is>
      </c>
      <c r="E4" s="2" t="inlineStr">
        <is>
          <t>Actual</t>
        </is>
      </c>
      <c r="F4" s="2" t="inlineStr">
        <is>
          <t>Actual</t>
        </is>
      </c>
      <c r="G4" s="2" t="inlineStr">
        <is>
          <t>Actual</t>
        </is>
      </c>
      <c r="H4" s="2" t="inlineStr">
        <is>
          <t>Actual</t>
        </is>
      </c>
      <c r="I4" s="2" t="inlineStr">
        <is>
          <t>Actual</t>
        </is>
      </c>
      <c r="J4" s="2" t="inlineStr">
        <is>
          <t>Actual</t>
        </is>
      </c>
      <c r="K4" s="2" t="inlineStr">
        <is>
          <t>Actual</t>
        </is>
      </c>
      <c r="L4" s="2" t="inlineStr">
        <is>
          <t>Actual</t>
        </is>
      </c>
      <c r="M4" s="2" t="inlineStr">
        <is>
          <t>Actual</t>
        </is>
      </c>
      <c r="N4" s="2" t="inlineStr">
        <is>
          <t>Actual</t>
        </is>
      </c>
      <c r="O4" s="2" t="inlineStr">
        <is>
          <t>Actual</t>
        </is>
      </c>
      <c r="P4" s="2" t="inlineStr">
        <is>
          <t>Actual</t>
        </is>
      </c>
      <c r="Q4" s="2" t="inlineStr">
        <is>
          <t>Actual</t>
        </is>
      </c>
      <c r="R4" s="2" t="inlineStr">
        <is>
          <t>Actual</t>
        </is>
      </c>
      <c r="S4" s="22" t="inlineStr">
        <is>
          <t>Forecast</t>
        </is>
      </c>
      <c r="T4" s="22" t="inlineStr">
        <is>
          <t>Forecast</t>
        </is>
      </c>
      <c r="U4" s="22" t="inlineStr">
        <is>
          <t>Forecast</t>
        </is>
      </c>
      <c r="V4" s="22" t="inlineStr">
        <is>
          <t>Forecast</t>
        </is>
      </c>
    </row>
    <row r="5">
      <c r="B5" s="4" t="inlineStr">
        <is>
          <t>Days</t>
        </is>
      </c>
      <c r="D5" s="5" t="n">
        <v>92</v>
      </c>
      <c r="E5" s="5" t="n">
        <v>89</v>
      </c>
      <c r="F5" s="5" t="n">
        <v>92</v>
      </c>
      <c r="G5" s="5" t="n">
        <v>92</v>
      </c>
      <c r="H5" s="5" t="n">
        <v>92</v>
      </c>
      <c r="I5" s="5" t="n">
        <v>89</v>
      </c>
      <c r="J5" s="5" t="n">
        <v>92</v>
      </c>
      <c r="K5" s="5" t="n">
        <v>92</v>
      </c>
      <c r="L5" s="5" t="n">
        <v>92</v>
      </c>
      <c r="M5" s="5" t="n">
        <v>90</v>
      </c>
      <c r="N5" s="5" t="n">
        <v>92</v>
      </c>
      <c r="O5" s="5" t="n">
        <v>92</v>
      </c>
      <c r="P5" s="5" t="n">
        <v>92</v>
      </c>
      <c r="Q5" s="5" t="n">
        <v>89</v>
      </c>
      <c r="R5" s="5" t="n">
        <v>92</v>
      </c>
      <c r="S5" s="23" t="n">
        <v>92</v>
      </c>
      <c r="T5" s="23" t="n">
        <v>92</v>
      </c>
      <c r="U5" s="23" t="n">
        <v>89</v>
      </c>
      <c r="V5" s="23" t="n">
        <v>92</v>
      </c>
    </row>
    <row r="6">
      <c r="B6" s="4" t="inlineStr">
        <is>
          <t>Fiscal q</t>
        </is>
      </c>
      <c r="D6" s="5" t="n">
        <v>4</v>
      </c>
      <c r="E6" s="5" t="n">
        <v>1</v>
      </c>
      <c r="F6" s="5" t="n">
        <v>2</v>
      </c>
      <c r="G6" s="5" t="n">
        <v>3</v>
      </c>
      <c r="H6" s="5" t="n">
        <v>4</v>
      </c>
      <c r="I6" s="5" t="n">
        <v>1</v>
      </c>
      <c r="J6" s="5" t="n">
        <v>2</v>
      </c>
      <c r="K6" s="5" t="n">
        <v>3</v>
      </c>
      <c r="L6" s="5" t="n">
        <v>4</v>
      </c>
      <c r="M6" s="5" t="n">
        <v>1</v>
      </c>
      <c r="N6" s="5" t="n">
        <v>2</v>
      </c>
      <c r="O6" s="5" t="n">
        <v>3</v>
      </c>
      <c r="P6" s="5" t="n">
        <v>4</v>
      </c>
      <c r="Q6" s="5" t="n">
        <v>1</v>
      </c>
      <c r="R6" s="5" t="n">
        <v>2</v>
      </c>
      <c r="S6" s="23" t="n">
        <v>3</v>
      </c>
      <c r="T6" s="23" t="n">
        <v>4</v>
      </c>
      <c r="U6" s="23" t="n">
        <v>1</v>
      </c>
      <c r="V6" s="23" t="n">
        <v>2</v>
      </c>
    </row>
    <row r="8">
      <c r="A8" s="4" t="inlineStr">
        <is>
          <t>h_act</t>
        </is>
      </c>
      <c r="B8" s="2" t="inlineStr">
        <is>
          <t>A. Actuals as finally reported (latest filings) [Sourced - SEC Filing]</t>
        </is>
      </c>
      <c r="C8" s="4" t="inlineStr"/>
    </row>
    <row r="9">
      <c r="A9" s="4" t="inlineStr">
        <is>
          <t>act_atlas</t>
        </is>
      </c>
      <c r="B9" s="24" t="inlineStr">
        <is>
          <t>Atlas-related revenue</t>
        </is>
      </c>
      <c r="C9" s="4" t="inlineStr"/>
      <c r="S9" s="37" t="n">
        <v>470399000</v>
      </c>
      <c r="T9" s="37" t="n">
        <v>502604000</v>
      </c>
      <c r="U9" s="37" t="n">
        <v>512466000</v>
      </c>
      <c r="V9" s="37" t="n">
        <v>565916000</v>
      </c>
    </row>
    <row r="10">
      <c r="A10" s="4" t="inlineStr">
        <is>
          <t>act_ea</t>
        </is>
      </c>
      <c r="B10" s="24" t="inlineStr">
        <is>
          <t>Other subscription revenue (EA)</t>
        </is>
      </c>
      <c r="C10" s="4" t="inlineStr"/>
      <c r="D10" s="26">
        <f>'Operating_Model'!D9</f>
        <v/>
      </c>
      <c r="E10" s="26">
        <f>'Operating_Model'!E9</f>
        <v/>
      </c>
      <c r="F10" s="26">
        <f>'Operating_Model'!F9</f>
        <v/>
      </c>
      <c r="G10" s="26">
        <f>'Operating_Model'!G9</f>
        <v/>
      </c>
      <c r="H10" s="26">
        <f>'Operating_Model'!H9</f>
        <v/>
      </c>
      <c r="I10" s="26">
        <f>'Operating_Model'!I9</f>
        <v/>
      </c>
      <c r="J10" s="26">
        <f>'Operating_Model'!J9</f>
        <v/>
      </c>
      <c r="K10" s="26">
        <f>'Operating_Model'!K9</f>
        <v/>
      </c>
      <c r="L10" s="26">
        <f>'Operating_Model'!L9</f>
        <v/>
      </c>
      <c r="M10" s="26">
        <f>'Operating_Model'!M9</f>
        <v/>
      </c>
      <c r="N10" s="26">
        <f>'Operating_Model'!N9</f>
        <v/>
      </c>
      <c r="O10" s="26">
        <f>'Operating_Model'!O9</f>
        <v/>
      </c>
      <c r="P10" s="26">
        <f>'Operating_Model'!P9</f>
        <v/>
      </c>
      <c r="Q10" s="26">
        <f>'Operating_Model'!Q9</f>
        <v/>
      </c>
      <c r="R10" s="26">
        <f>'Operating_Model'!R9</f>
        <v/>
      </c>
      <c r="S10" s="37" t="n">
        <v>138668000</v>
      </c>
      <c r="T10" s="37" t="n">
        <v>170496000</v>
      </c>
      <c r="U10" s="37" t="n">
        <v>153672000</v>
      </c>
      <c r="V10" s="37" t="n">
        <v>181231000</v>
      </c>
    </row>
    <row r="11">
      <c r="A11" s="4" t="inlineStr">
        <is>
          <t>act_svc</t>
        </is>
      </c>
      <c r="B11" s="24" t="inlineStr">
        <is>
          <t>Services revenue</t>
        </is>
      </c>
      <c r="C11" s="4" t="inlineStr"/>
      <c r="D11" s="26">
        <f>'Operating_Model'!D11</f>
        <v/>
      </c>
      <c r="E11" s="26">
        <f>'Operating_Model'!E11</f>
        <v/>
      </c>
      <c r="F11" s="26">
        <f>'Operating_Model'!F11</f>
        <v/>
      </c>
      <c r="G11" s="26">
        <f>'Operating_Model'!G11</f>
        <v/>
      </c>
      <c r="H11" s="26">
        <f>'Operating_Model'!H11</f>
        <v/>
      </c>
      <c r="I11" s="26">
        <f>'Operating_Model'!I11</f>
        <v/>
      </c>
      <c r="J11" s="26">
        <f>'Operating_Model'!J11</f>
        <v/>
      </c>
      <c r="K11" s="26">
        <f>'Operating_Model'!K11</f>
        <v/>
      </c>
      <c r="L11" s="26">
        <f>'Operating_Model'!L11</f>
        <v/>
      </c>
      <c r="M11" s="26">
        <f>'Operating_Model'!M11</f>
        <v/>
      </c>
      <c r="N11" s="26">
        <f>'Operating_Model'!N11</f>
        <v/>
      </c>
      <c r="O11" s="26">
        <f>'Operating_Model'!O11</f>
        <v/>
      </c>
      <c r="P11" s="26">
        <f>'Operating_Model'!P11</f>
        <v/>
      </c>
      <c r="Q11" s="26">
        <f>'Operating_Model'!Q11</f>
        <v/>
      </c>
      <c r="R11" s="26">
        <f>'Operating_Model'!R11</f>
        <v/>
      </c>
      <c r="S11" s="37" t="n">
        <v>19242000</v>
      </c>
      <c r="T11" s="37" t="n">
        <v>21972000</v>
      </c>
      <c r="U11" s="37" t="n">
        <v>21478000</v>
      </c>
      <c r="V11" s="37" t="n">
        <v>24626000</v>
      </c>
    </row>
    <row r="12">
      <c r="A12" s="4" t="inlineStr">
        <is>
          <t>act_cost_sub</t>
        </is>
      </c>
      <c r="B12" s="24" t="inlineStr">
        <is>
          <t>Cost of subscription</t>
        </is>
      </c>
      <c r="C12" s="4" t="inlineStr"/>
      <c r="S12" s="37" t="n">
        <v>146921000</v>
      </c>
      <c r="T12" s="37" t="n">
        <v>155076000</v>
      </c>
      <c r="U12" s="37" t="n">
        <v>164907000</v>
      </c>
      <c r="V12" s="37" t="n">
        <v>174251000</v>
      </c>
    </row>
    <row r="13">
      <c r="A13" s="4" t="inlineStr">
        <is>
          <t>act_cost_svc</t>
        </is>
      </c>
      <c r="B13" s="24" t="inlineStr">
        <is>
          <t>Cost of services</t>
        </is>
      </c>
      <c r="C13" s="4" t="inlineStr"/>
      <c r="S13" s="37" t="n">
        <v>32256000</v>
      </c>
      <c r="T13" s="37" t="n">
        <v>32336000</v>
      </c>
      <c r="U13" s="37" t="n">
        <v>26534000</v>
      </c>
      <c r="V13" s="37" t="n">
        <v>27757000</v>
      </c>
    </row>
    <row r="14">
      <c r="A14" s="4" t="inlineStr">
        <is>
          <t>act_sbc_cost_subscription</t>
        </is>
      </c>
      <c r="B14" s="24" t="inlineStr">
        <is>
          <t>SBC in cost of subscription</t>
        </is>
      </c>
      <c r="C14" s="4" t="inlineStr"/>
      <c r="S14" s="37" t="n">
        <v>8990000</v>
      </c>
      <c r="T14" s="37" t="n">
        <v>8444000</v>
      </c>
      <c r="U14" s="37" t="n">
        <v>8888000</v>
      </c>
      <c r="V14" s="37" t="n">
        <v>9205000</v>
      </c>
    </row>
    <row r="15">
      <c r="A15" s="4" t="inlineStr">
        <is>
          <t>act_sbc_cost_services</t>
        </is>
      </c>
      <c r="B15" s="24" t="inlineStr">
        <is>
          <t>SBC in cost of services</t>
        </is>
      </c>
      <c r="C15" s="4" t="inlineStr"/>
      <c r="S15" s="37" t="n">
        <v>4572000</v>
      </c>
      <c r="T15" s="37" t="n">
        <v>4444000</v>
      </c>
      <c r="U15" s="37" t="n">
        <v>2792000</v>
      </c>
      <c r="V15" s="37" t="n">
        <v>3424000</v>
      </c>
    </row>
    <row r="16">
      <c r="A16" s="4" t="inlineStr">
        <is>
          <t>act_rnd</t>
        </is>
      </c>
      <c r="B16" s="24" t="inlineStr">
        <is>
          <t>Research and development</t>
        </is>
      </c>
      <c r="C16" s="4" t="inlineStr"/>
      <c r="S16" s="37" t="n">
        <v>176610000</v>
      </c>
      <c r="T16" s="37" t="n">
        <v>189125000</v>
      </c>
      <c r="U16" s="37" t="n">
        <v>200409000</v>
      </c>
      <c r="V16" s="37" t="n">
        <v>213874000</v>
      </c>
    </row>
    <row r="17">
      <c r="A17" s="4" t="inlineStr">
        <is>
          <t>act_snm</t>
        </is>
      </c>
      <c r="B17" s="24" t="inlineStr">
        <is>
          <t>Sales and marketing</t>
        </is>
      </c>
      <c r="C17" s="4" t="inlineStr"/>
      <c r="S17" s="37" t="n">
        <v>230864000</v>
      </c>
      <c r="T17" s="37" t="n">
        <v>248537000</v>
      </c>
      <c r="U17" s="37" t="n">
        <v>249334000</v>
      </c>
      <c r="V17" s="37" t="n">
        <v>253071000</v>
      </c>
    </row>
    <row r="18">
      <c r="A18" s="4" t="inlineStr">
        <is>
          <t>act_gna</t>
        </is>
      </c>
      <c r="B18" s="24" t="inlineStr">
        <is>
          <t>General and administrative</t>
        </is>
      </c>
      <c r="C18" s="4" t="inlineStr"/>
      <c r="S18" s="37" t="n">
        <v>60082000</v>
      </c>
      <c r="T18" s="37" t="n">
        <v>69694000</v>
      </c>
      <c r="U18" s="37" t="n">
        <v>71236000</v>
      </c>
      <c r="V18" s="37" t="n">
        <v>74420000</v>
      </c>
    </row>
    <row r="19">
      <c r="A19" s="4" t="inlineStr">
        <is>
          <t>act_sbc_rnd</t>
        </is>
      </c>
      <c r="B19" s="24" t="inlineStr">
        <is>
          <t>SBC in R&amp;D</t>
        </is>
      </c>
      <c r="C19" s="4" t="inlineStr"/>
      <c r="S19" s="37" t="n">
        <v>67255000</v>
      </c>
      <c r="T19" s="37" t="n">
        <v>70808000</v>
      </c>
      <c r="U19" s="37" t="n">
        <v>70708000</v>
      </c>
      <c r="V19" s="37" t="n">
        <v>74506000</v>
      </c>
    </row>
    <row r="20">
      <c r="A20" s="4" t="inlineStr">
        <is>
          <t>act_sbc_snm</t>
        </is>
      </c>
      <c r="B20" s="24" t="inlineStr">
        <is>
          <t>SBC in S&amp;M</t>
        </is>
      </c>
      <c r="C20" s="4" t="inlineStr"/>
      <c r="S20" s="37" t="n">
        <v>36965000</v>
      </c>
      <c r="T20" s="37" t="n">
        <v>37454000</v>
      </c>
      <c r="U20" s="37" t="n">
        <v>32681000</v>
      </c>
      <c r="V20" s="37" t="n">
        <v>35722000</v>
      </c>
    </row>
    <row r="21">
      <c r="A21" s="4" t="inlineStr">
        <is>
          <t>act_sbc_gna</t>
        </is>
      </c>
      <c r="B21" s="24" t="inlineStr">
        <is>
          <t>SBC in G&amp;A</t>
        </is>
      </c>
      <c r="C21" s="4" t="inlineStr"/>
      <c r="S21" s="37" t="n">
        <v>15848000</v>
      </c>
      <c r="T21" s="37" t="n">
        <v>22843000</v>
      </c>
      <c r="U21" s="37" t="n">
        <v>22761000</v>
      </c>
      <c r="V21" s="37" t="n">
        <v>26082000</v>
      </c>
    </row>
    <row r="22">
      <c r="A22" s="4" t="inlineStr">
        <is>
          <t>act_amort</t>
        </is>
      </c>
      <c r="B22" s="24" t="inlineStr">
        <is>
          <t>Amortization of intangibles</t>
        </is>
      </c>
      <c r="C22" s="4" t="inlineStr"/>
      <c r="S22" s="37" t="n">
        <v>3800000</v>
      </c>
      <c r="T22" s="37" t="n">
        <v>3900000</v>
      </c>
      <c r="U22" s="37" t="n">
        <v>3700000</v>
      </c>
      <c r="V22" s="37" t="n">
        <v>3800000</v>
      </c>
    </row>
    <row r="23">
      <c r="A23" s="4" t="inlineStr">
        <is>
          <t>act_cfo</t>
        </is>
      </c>
      <c r="B23" s="24" t="inlineStr">
        <is>
          <t>Operating cash flow</t>
        </is>
      </c>
      <c r="C23" s="4" t="inlineStr"/>
      <c r="S23" s="37" t="n">
        <v>143510000</v>
      </c>
      <c r="T23" s="37" t="n">
        <v>179604000</v>
      </c>
      <c r="U23" s="37" t="n">
        <v>201631000</v>
      </c>
      <c r="V23" s="37" t="n">
        <v>141878000</v>
      </c>
    </row>
    <row r="24">
      <c r="A24" s="4" t="inlineStr">
        <is>
          <t>act_capex</t>
        </is>
      </c>
      <c r="B24" s="24" t="inlineStr">
        <is>
          <t>Capital expenditures</t>
        </is>
      </c>
      <c r="C24" s="4" t="inlineStr"/>
      <c r="S24" s="37" t="n">
        <v>1678000</v>
      </c>
      <c r="T24" s="37" t="n">
        <v>1134000</v>
      </c>
      <c r="U24" s="37" t="n">
        <v>2319000</v>
      </c>
      <c r="V24" s="37" t="n">
        <v>2472000</v>
      </c>
    </row>
    <row r="25">
      <c r="A25" s="4" t="inlineStr">
        <is>
          <t>act_customers</t>
        </is>
      </c>
      <c r="B25" s="24" t="inlineStr">
        <is>
          <t>Total customers</t>
        </is>
      </c>
      <c r="C25" s="4" t="inlineStr"/>
      <c r="G25" s="38">
        <f>'Cohort_ARR_Build'!G8</f>
        <v/>
      </c>
      <c r="H25" s="38">
        <f>'Cohort_ARR_Build'!H8</f>
        <v/>
      </c>
      <c r="I25" s="38">
        <f>'Cohort_ARR_Build'!I8</f>
        <v/>
      </c>
      <c r="J25" s="38">
        <f>'Cohort_ARR_Build'!J8</f>
        <v/>
      </c>
      <c r="K25" s="38">
        <f>'Cohort_ARR_Build'!K8</f>
        <v/>
      </c>
      <c r="L25" s="38">
        <f>'Cohort_ARR_Build'!L8</f>
        <v/>
      </c>
      <c r="M25" s="38">
        <f>'Cohort_ARR_Build'!M8</f>
        <v/>
      </c>
      <c r="N25" s="38">
        <f>'Cohort_ARR_Build'!N8</f>
        <v/>
      </c>
      <c r="O25" s="38">
        <f>'Cohort_ARR_Build'!O8</f>
        <v/>
      </c>
      <c r="P25" s="38">
        <f>'Cohort_ARR_Build'!P8</f>
        <v/>
      </c>
      <c r="Q25" s="38">
        <f>'Cohort_ARR_Build'!Q8</f>
        <v/>
      </c>
      <c r="R25" s="38">
        <f>'Cohort_ARR_Build'!R8</f>
        <v/>
      </c>
      <c r="S25" s="39" t="n">
        <v>62500</v>
      </c>
      <c r="T25" s="39" t="n">
        <v>65200</v>
      </c>
      <c r="U25" s="39" t="n">
        <v>67700</v>
      </c>
      <c r="V25" s="39" t="n">
        <v>70600</v>
      </c>
    </row>
    <row r="26">
      <c r="A26" s="4" t="inlineStr">
        <is>
          <t>act_nrr</t>
        </is>
      </c>
      <c r="B26" s="24" t="inlineStr">
        <is>
          <t>Net ARR expansion rate</t>
        </is>
      </c>
      <c r="C26" s="4" t="inlineStr"/>
      <c r="S26" s="40" t="n">
        <v>1.2</v>
      </c>
      <c r="T26" s="40" t="n">
        <v>1.21</v>
      </c>
      <c r="U26" s="40" t="n">
        <v>1.21</v>
      </c>
      <c r="V26" s="40" t="n">
        <v>1.22</v>
      </c>
    </row>
    <row r="27">
      <c r="A27" s="4" t="inlineStr">
        <is>
          <t>act_headcount</t>
        </is>
      </c>
      <c r="B27" s="24" t="inlineStr">
        <is>
          <t>Employees</t>
        </is>
      </c>
      <c r="C27" s="4" t="inlineStr"/>
      <c r="S27" s="39" t="n">
        <v>5616.5</v>
      </c>
      <c r="T27" s="39" t="n">
        <v>5636</v>
      </c>
      <c r="U27" s="39" t="n">
        <v>5655.5</v>
      </c>
      <c r="V27" s="39" t="n">
        <v>5675</v>
      </c>
    </row>
    <row r="28">
      <c r="A28" s="4" t="inlineStr">
        <is>
          <t>act_hc_basis</t>
        </is>
      </c>
      <c r="B28" s="24" t="inlineStr">
        <is>
          <t>Headcount basis</t>
        </is>
      </c>
      <c r="C28" s="4" t="inlineStr"/>
      <c r="S28" s="41" t="inlineStr">
        <is>
          <t>[Interpolated]</t>
        </is>
      </c>
      <c r="T28" s="41" t="inlineStr">
        <is>
          <t>[Sourced - SEC Filing]</t>
        </is>
      </c>
      <c r="U28" s="41" t="inlineStr">
        <is>
          <t>[Estimated]</t>
        </is>
      </c>
      <c r="V28" s="41" t="inlineStr">
        <is>
          <t>[Estimated]</t>
        </is>
      </c>
    </row>
    <row r="29">
      <c r="A29" s="4" t="inlineStr">
        <is>
          <t>act_sub</t>
        </is>
      </c>
      <c r="B29" s="24" t="inlineStr">
        <is>
          <t>Subscription revenue</t>
        </is>
      </c>
      <c r="C29" s="4" t="inlineStr"/>
      <c r="S29" s="27">
        <f>S9+S10</f>
        <v/>
      </c>
      <c r="T29" s="27">
        <f>T9+T10</f>
        <v/>
      </c>
      <c r="U29" s="27">
        <f>U9+U10</f>
        <v/>
      </c>
      <c r="V29" s="27">
        <f>V9+V10</f>
        <v/>
      </c>
    </row>
    <row r="30">
      <c r="A30" s="4" t="inlineStr">
        <is>
          <t>act_revenue</t>
        </is>
      </c>
      <c r="B30" s="2" t="inlineStr">
        <is>
          <t>Total revenue</t>
        </is>
      </c>
      <c r="C30" s="4" t="inlineStr"/>
      <c r="S30" s="29">
        <f>S29+S11</f>
        <v/>
      </c>
      <c r="T30" s="29">
        <f>T29+T11</f>
        <v/>
      </c>
      <c r="U30" s="29">
        <f>U29+U11</f>
        <v/>
      </c>
      <c r="V30" s="29">
        <f>V29+V11</f>
        <v/>
      </c>
    </row>
    <row r="31">
      <c r="A31" s="4" t="inlineStr">
        <is>
          <t>act_ea_ttm</t>
        </is>
      </c>
      <c r="B31" s="24" t="inlineStr">
        <is>
          <t>EA revenue, trailing 4 quarters</t>
        </is>
      </c>
      <c r="C31" s="4" t="inlineStr"/>
      <c r="S31" s="27">
        <f>SUM(P10:S10)</f>
        <v/>
      </c>
      <c r="T31" s="27">
        <f>SUM(Q10:T10)</f>
        <v/>
      </c>
      <c r="U31" s="27">
        <f>SUM(R10:U10)</f>
        <v/>
      </c>
      <c r="V31" s="27">
        <f>SUM(S10:V10)</f>
        <v/>
      </c>
    </row>
    <row r="32">
      <c r="A32" s="4" t="inlineStr">
        <is>
          <t>act_arr</t>
        </is>
      </c>
      <c r="B32" s="24" t="inlineStr">
        <is>
          <t>ARR proxy</t>
        </is>
      </c>
      <c r="C32" s="4" t="inlineStr"/>
      <c r="G32" s="26">
        <f>'Cohort_ARR_Build'!G15</f>
        <v/>
      </c>
      <c r="H32" s="26">
        <f>'Cohort_ARR_Build'!H15</f>
        <v/>
      </c>
      <c r="I32" s="26">
        <f>'Cohort_ARR_Build'!I15</f>
        <v/>
      </c>
      <c r="J32" s="26">
        <f>'Cohort_ARR_Build'!J15</f>
        <v/>
      </c>
      <c r="K32" s="26">
        <f>'Cohort_ARR_Build'!K15</f>
        <v/>
      </c>
      <c r="L32" s="26">
        <f>'Cohort_ARR_Build'!L15</f>
        <v/>
      </c>
      <c r="M32" s="26">
        <f>'Cohort_ARR_Build'!M15</f>
        <v/>
      </c>
      <c r="N32" s="26">
        <f>'Cohort_ARR_Build'!N15</f>
        <v/>
      </c>
      <c r="O32" s="26">
        <f>'Cohort_ARR_Build'!O15</f>
        <v/>
      </c>
      <c r="P32" s="26">
        <f>'Cohort_ARR_Build'!P15</f>
        <v/>
      </c>
      <c r="Q32" s="26">
        <f>'Cohort_ARR_Build'!Q15</f>
        <v/>
      </c>
      <c r="R32" s="26">
        <f>'Cohort_ARR_Build'!R15</f>
        <v/>
      </c>
      <c r="S32" s="27">
        <f>S9*Inputs_Scenarios!$C$5/S5+S31</f>
        <v/>
      </c>
      <c r="T32" s="27">
        <f>T9*Inputs_Scenarios!$C$5/T5+T31</f>
        <v/>
      </c>
      <c r="U32" s="27">
        <f>U9*Inputs_Scenarios!$C$5/U5+U31</f>
        <v/>
      </c>
      <c r="V32" s="27">
        <f>V9*Inputs_Scenarios!$C$5/V5+V31</f>
        <v/>
      </c>
    </row>
    <row r="33">
      <c r="A33" s="4" t="inlineStr">
        <is>
          <t>act_ng_rnd</t>
        </is>
      </c>
      <c r="B33" s="24" t="inlineStr">
        <is>
          <t>RND non-GAAP spend</t>
        </is>
      </c>
      <c r="C33" s="4" t="inlineStr"/>
      <c r="S33" s="27">
        <f>S16-S19</f>
        <v/>
      </c>
      <c r="T33" s="27">
        <f>T16-T19</f>
        <v/>
      </c>
      <c r="U33" s="27">
        <f>U16-U19</f>
        <v/>
      </c>
      <c r="V33" s="27">
        <f>V16-V19</f>
        <v/>
      </c>
    </row>
    <row r="34">
      <c r="A34" s="4" t="inlineStr">
        <is>
          <t>act_cph_rnd</t>
        </is>
      </c>
      <c r="B34" s="24" t="inlineStr">
        <is>
          <t>RND non-GAAP spend per employee</t>
        </is>
      </c>
      <c r="C34" s="4" t="inlineStr"/>
      <c r="S34" s="35">
        <f>S33/S27</f>
        <v/>
      </c>
      <c r="T34" s="35">
        <f>T33/T27</f>
        <v/>
      </c>
      <c r="U34" s="35">
        <f>U33/U27</f>
        <v/>
      </c>
      <c r="V34" s="35">
        <f>V33/V27</f>
        <v/>
      </c>
    </row>
    <row r="35">
      <c r="A35" s="4" t="inlineStr">
        <is>
          <t>act_ng_snm</t>
        </is>
      </c>
      <c r="B35" s="24" t="inlineStr">
        <is>
          <t>SNM non-GAAP spend</t>
        </is>
      </c>
      <c r="C35" s="4" t="inlineStr"/>
      <c r="S35" s="27">
        <f>S17-S20</f>
        <v/>
      </c>
      <c r="T35" s="27">
        <f>T17-T20</f>
        <v/>
      </c>
      <c r="U35" s="27">
        <f>U17-U20</f>
        <v/>
      </c>
      <c r="V35" s="27">
        <f>V17-V20</f>
        <v/>
      </c>
    </row>
    <row r="36">
      <c r="A36" s="4" t="inlineStr">
        <is>
          <t>act_cph_snm</t>
        </is>
      </c>
      <c r="B36" s="24" t="inlineStr">
        <is>
          <t>SNM non-GAAP spend per employee</t>
        </is>
      </c>
      <c r="C36" s="4" t="inlineStr"/>
      <c r="S36" s="35">
        <f>S35/S27</f>
        <v/>
      </c>
      <c r="T36" s="35">
        <f>T35/T27</f>
        <v/>
      </c>
      <c r="U36" s="35">
        <f>U35/U27</f>
        <v/>
      </c>
      <c r="V36" s="35">
        <f>V35/V27</f>
        <v/>
      </c>
    </row>
    <row r="37">
      <c r="A37" s="4" t="inlineStr">
        <is>
          <t>act_ng_gna</t>
        </is>
      </c>
      <c r="B37" s="24" t="inlineStr">
        <is>
          <t>GNA non-GAAP spend</t>
        </is>
      </c>
      <c r="C37" s="4" t="inlineStr"/>
      <c r="S37" s="27">
        <f>S18-S21</f>
        <v/>
      </c>
      <c r="T37" s="27">
        <f>T18-T21</f>
        <v/>
      </c>
      <c r="U37" s="27">
        <f>U18-U21</f>
        <v/>
      </c>
      <c r="V37" s="27">
        <f>V18-V21</f>
        <v/>
      </c>
    </row>
    <row r="38">
      <c r="A38" s="4" t="inlineStr">
        <is>
          <t>act_cph_gna</t>
        </is>
      </c>
      <c r="B38" s="24" t="inlineStr">
        <is>
          <t>GNA non-GAAP spend per employee</t>
        </is>
      </c>
      <c r="C38" s="4" t="inlineStr"/>
      <c r="S38" s="35">
        <f>S37/S27</f>
        <v/>
      </c>
      <c r="T38" s="35">
        <f>T37/T27</f>
        <v/>
      </c>
      <c r="U38" s="35">
        <f>U37/U27</f>
        <v/>
      </c>
      <c r="V38" s="35">
        <f>V37/V27</f>
        <v/>
      </c>
    </row>
    <row r="39">
      <c r="A39" s="4" t="inlineStr">
        <is>
          <t>act_ng_op</t>
        </is>
      </c>
      <c r="B39" s="2" t="inlineStr">
        <is>
          <t>Non-GAAP operating income (model definition)</t>
        </is>
      </c>
      <c r="C39" s="4" t="inlineStr"/>
      <c r="S39" s="29">
        <f>S30-S12-S13+S14+S15-S33-S35-S37+S22</f>
        <v/>
      </c>
      <c r="T39" s="29">
        <f>T30-T12-T13+T14+T15-T33-T35-T37+T22</f>
        <v/>
      </c>
      <c r="U39" s="29">
        <f>U30-U12-U13+U14+U15-U33-U35-U37+U22</f>
        <v/>
      </c>
      <c r="V39" s="29">
        <f>V30-V12-V13+V14+V15-V33-V35-V37+V22</f>
        <v/>
      </c>
    </row>
    <row r="40">
      <c r="A40" s="4" t="inlineStr">
        <is>
          <t>act_fcf</t>
        </is>
      </c>
      <c r="B40" s="2" t="inlineStr">
        <is>
          <t>Free cash flow</t>
        </is>
      </c>
      <c r="C40" s="4" t="inlineStr"/>
      <c r="S40" s="29">
        <f>S23-S24</f>
        <v/>
      </c>
      <c r="T40" s="29">
        <f>T23-T24</f>
        <v/>
      </c>
      <c r="U40" s="29">
        <f>U23-U24</f>
        <v/>
      </c>
      <c r="V40" s="29">
        <f>V23-V24</f>
        <v/>
      </c>
    </row>
    <row r="41">
      <c r="A41" s="4" t="inlineStr">
        <is>
          <t>act_conv</t>
        </is>
      </c>
      <c r="B41" s="24" t="inlineStr">
        <is>
          <t>FCF / non-GAAP operating income</t>
        </is>
      </c>
      <c r="C41" s="4" t="inlineStr"/>
      <c r="S41" s="42">
        <f>S40/S39</f>
        <v/>
      </c>
      <c r="T41" s="42">
        <f>T40/T39</f>
        <v/>
      </c>
      <c r="U41" s="42">
        <f>U40/U39</f>
        <v/>
      </c>
      <c r="V41" s="42">
        <f>V40/V39</f>
        <v/>
      </c>
    </row>
    <row r="42">
      <c r="A42" s="4" t="inlineStr">
        <is>
          <t>h_imp</t>
        </is>
      </c>
      <c r="B42" s="2" t="inlineStr">
        <is>
          <t>B. Actual-implied drivers (what the model needed to reproduce the actuals)</t>
        </is>
      </c>
      <c r="C42" s="4" t="inlineStr"/>
    </row>
    <row r="43">
      <c r="A43" s="4" t="inlineStr">
        <is>
          <t>imp_g</t>
        </is>
      </c>
      <c r="B43" s="24" t="inlineStr">
        <is>
          <t>Quarterly net expansion of the existing book</t>
        </is>
      </c>
      <c r="C43" s="4" t="inlineStr"/>
      <c r="S43" s="43">
        <f>MIN(S26^(1/Inputs_Scenarios!$C$6)-1,S32/R32-1)</f>
        <v/>
      </c>
      <c r="T43" s="43">
        <f>MIN(T26^(1/Inputs_Scenarios!$C$6)-1,T32/S32-1)</f>
        <v/>
      </c>
      <c r="U43" s="43">
        <f>MIN(U26^(1/Inputs_Scenarios!$C$6)-1,U32/T32-1)</f>
        <v/>
      </c>
      <c r="V43" s="43">
        <f>MIN(V26^(1/Inputs_Scenarios!$C$6)-1,V32/U32-1)</f>
        <v/>
      </c>
    </row>
    <row r="44">
      <c r="A44" s="4" t="inlineStr">
        <is>
          <t>imp_new_logos</t>
        </is>
      </c>
      <c r="B44" s="24" t="inlineStr">
        <is>
          <t>Gross new logos</t>
        </is>
      </c>
      <c r="C44" s="4" t="inlineStr"/>
      <c r="S44" s="25">
        <f>S25-R25*(1-Inputs_Scenarios!$F$14)</f>
        <v/>
      </c>
      <c r="T44" s="25">
        <f>T25-S25*(1-Inputs_Scenarios!$F$14)</f>
        <v/>
      </c>
      <c r="U44" s="25">
        <f>U25-T25*(1-Inputs_Scenarios!$F$14)</f>
        <v/>
      </c>
      <c r="V44" s="25">
        <f>V25-U25*(1-Inputs_Scenarios!$F$14)</f>
        <v/>
      </c>
    </row>
    <row r="45">
      <c r="A45" s="4" t="inlineStr">
        <is>
          <t>imp_arpl</t>
        </is>
      </c>
      <c r="B45" s="24" t="inlineStr">
        <is>
          <t>ARR per new logo</t>
        </is>
      </c>
      <c r="C45" s="4" t="inlineStr"/>
      <c r="S45" s="35">
        <f>(S32-R32*(1+S43))/S44</f>
        <v/>
      </c>
      <c r="T45" s="35">
        <f>(T32-S32*(1+T43))/T44</f>
        <v/>
      </c>
      <c r="U45" s="35">
        <f>(U32-T32*(1+U43))/U44</f>
        <v/>
      </c>
      <c r="V45" s="35">
        <f>(V32-U32*(1+V43))/V44</f>
        <v/>
      </c>
    </row>
    <row r="46">
      <c r="A46" s="4" t="inlineStr">
        <is>
          <t>imp_ea_yoy</t>
        </is>
      </c>
      <c r="B46" s="24" t="inlineStr">
        <is>
          <t>EA revenue growth, YoY</t>
        </is>
      </c>
      <c r="C46" s="4" t="inlineStr"/>
      <c r="S46" s="30">
        <f>S10/O10-1</f>
        <v/>
      </c>
      <c r="T46" s="30">
        <f>T10/P10-1</f>
        <v/>
      </c>
      <c r="U46" s="30">
        <f>U10/Q10-1</f>
        <v/>
      </c>
      <c r="V46" s="30">
        <f>V10/R10-1</f>
        <v/>
      </c>
    </row>
    <row r="47">
      <c r="A47" s="4" t="inlineStr">
        <is>
          <t>imp_svc_yoy</t>
        </is>
      </c>
      <c r="B47" s="24" t="inlineStr">
        <is>
          <t>Services revenue growth, YoY</t>
        </is>
      </c>
      <c r="C47" s="4" t="inlineStr"/>
      <c r="S47" s="30">
        <f>S11/O11-1</f>
        <v/>
      </c>
      <c r="T47" s="30">
        <f>T11/P11-1</f>
        <v/>
      </c>
      <c r="U47" s="30">
        <f>U11/Q11-1</f>
        <v/>
      </c>
      <c r="V47" s="30">
        <f>V11/R11-1</f>
        <v/>
      </c>
    </row>
    <row r="48">
      <c r="A48" s="4" t="inlineStr">
        <is>
          <t>imp_sub_gm</t>
        </is>
      </c>
      <c r="B48" s="24" t="inlineStr">
        <is>
          <t>Subscription gross margin (GAAP)</t>
        </is>
      </c>
      <c r="C48" s="4" t="inlineStr"/>
      <c r="S48" s="30">
        <f>1-S12/S29</f>
        <v/>
      </c>
      <c r="T48" s="30">
        <f>1-T12/T29</f>
        <v/>
      </c>
      <c r="U48" s="30">
        <f>1-U12/U29</f>
        <v/>
      </c>
      <c r="V48" s="30">
        <f>1-V12/V29</f>
        <v/>
      </c>
    </row>
    <row r="49">
      <c r="A49" s="4" t="inlineStr">
        <is>
          <t>imp_svc_gm</t>
        </is>
      </c>
      <c r="B49" s="24" t="inlineStr">
        <is>
          <t>Services gross margin (GAAP)</t>
        </is>
      </c>
      <c r="C49" s="4" t="inlineStr"/>
      <c r="S49" s="30">
        <f>1-S13/S11</f>
        <v/>
      </c>
      <c r="T49" s="30">
        <f>1-T13/T11</f>
        <v/>
      </c>
      <c r="U49" s="30">
        <f>1-U13/U11</f>
        <v/>
      </c>
      <c r="V49" s="30">
        <f>1-V13/V11</f>
        <v/>
      </c>
    </row>
    <row r="50">
      <c r="A50" s="4" t="inlineStr">
        <is>
          <t>imp_sbc_cogs</t>
        </is>
      </c>
      <c r="B50" s="24" t="inlineStr">
        <is>
          <t>SBC in cost of revenue, % of revenue</t>
        </is>
      </c>
      <c r="C50" s="4" t="inlineStr"/>
      <c r="S50" s="43">
        <f>(S14+S15)/S30</f>
        <v/>
      </c>
      <c r="T50" s="43">
        <f>(T14+T15)/T30</f>
        <v/>
      </c>
      <c r="U50" s="43">
        <f>(U14+U15)/U30</f>
        <v/>
      </c>
      <c r="V50" s="43">
        <f>(V14+V15)/V30</f>
        <v/>
      </c>
    </row>
    <row r="51">
      <c r="A51" s="4" t="inlineStr">
        <is>
          <t>s0_h</t>
        </is>
      </c>
      <c r="B51" s="2" t="inlineStr">
        <is>
          <t>Step 0: plan</t>
        </is>
      </c>
      <c r="C51" s="4" t="inlineStr"/>
    </row>
    <row r="52">
      <c r="A52" s="4" t="inlineStr">
        <is>
          <t>s0_g</t>
        </is>
      </c>
      <c r="B52" s="24" t="inlineStr">
        <is>
          <t>Quarterly net expansion</t>
        </is>
      </c>
      <c r="C52" s="4" t="inlineStr"/>
      <c r="S52" s="43">
        <f>Inputs_Scenarios!$F$11^(1/Inputs_Scenarios!$C$6)-1</f>
        <v/>
      </c>
      <c r="T52" s="43">
        <f>Inputs_Scenarios!$F$11^(1/Inputs_Scenarios!$C$6)-1</f>
        <v/>
      </c>
      <c r="U52" s="43">
        <f>Inputs_Scenarios!$F$11^(1/Inputs_Scenarios!$C$6)-1</f>
        <v/>
      </c>
      <c r="V52" s="43">
        <f>Inputs_Scenarios!$F$11^(1/Inputs_Scenarios!$C$6)-1</f>
        <v/>
      </c>
    </row>
    <row r="53">
      <c r="A53" s="4" t="inlineStr">
        <is>
          <t>s0_nl</t>
        </is>
      </c>
      <c r="B53" s="24" t="inlineStr">
        <is>
          <t>Gross new logos</t>
        </is>
      </c>
      <c r="C53" s="4" t="inlineStr"/>
      <c r="S53" s="25">
        <f>Inputs_Scenarios!$F$12</f>
        <v/>
      </c>
      <c r="T53" s="25">
        <f>Inputs_Scenarios!$F$12</f>
        <v/>
      </c>
      <c r="U53" s="25">
        <f>Inputs_Scenarios!$F$12</f>
        <v/>
      </c>
      <c r="V53" s="25">
        <f>Inputs_Scenarios!$F$12</f>
        <v/>
      </c>
    </row>
    <row r="54">
      <c r="A54" s="4" t="inlineStr">
        <is>
          <t>s0_arpl</t>
        </is>
      </c>
      <c r="B54" s="24" t="inlineStr">
        <is>
          <t>ARR per new logo</t>
        </is>
      </c>
      <c r="C54" s="4" t="inlineStr"/>
      <c r="S54" s="35">
        <f>Inputs_Scenarios!$F$13</f>
        <v/>
      </c>
      <c r="T54" s="35">
        <f>Inputs_Scenarios!$F$13</f>
        <v/>
      </c>
      <c r="U54" s="35">
        <f>Inputs_Scenarios!$F$13</f>
        <v/>
      </c>
      <c r="V54" s="35">
        <f>Inputs_Scenarios!$F$13</f>
        <v/>
      </c>
    </row>
    <row r="55">
      <c r="A55" s="4" t="inlineStr">
        <is>
          <t>s0_arr</t>
        </is>
      </c>
      <c r="B55" s="24" t="inlineStr">
        <is>
          <t>ARR proxy</t>
        </is>
      </c>
      <c r="C55" s="4" t="inlineStr"/>
      <c r="G55" s="26">
        <f>'Cohort_ARR_Build'!G15</f>
        <v/>
      </c>
      <c r="H55" s="26">
        <f>'Cohort_ARR_Build'!H15</f>
        <v/>
      </c>
      <c r="I55" s="26">
        <f>'Cohort_ARR_Build'!I15</f>
        <v/>
      </c>
      <c r="J55" s="26">
        <f>'Cohort_ARR_Build'!J15</f>
        <v/>
      </c>
      <c r="K55" s="26">
        <f>'Cohort_ARR_Build'!K15</f>
        <v/>
      </c>
      <c r="L55" s="26">
        <f>'Cohort_ARR_Build'!L15</f>
        <v/>
      </c>
      <c r="M55" s="26">
        <f>'Cohort_ARR_Build'!M15</f>
        <v/>
      </c>
      <c r="N55" s="26">
        <f>'Cohort_ARR_Build'!N15</f>
        <v/>
      </c>
      <c r="O55" s="26">
        <f>'Cohort_ARR_Build'!O15</f>
        <v/>
      </c>
      <c r="P55" s="26">
        <f>'Cohort_ARR_Build'!P15</f>
        <v/>
      </c>
      <c r="Q55" s="26">
        <f>'Cohort_ARR_Build'!Q15</f>
        <v/>
      </c>
      <c r="R55" s="26">
        <f>'Cohort_ARR_Build'!R15</f>
        <v/>
      </c>
      <c r="S55" s="27">
        <f>R55*(1+S52)+S53*S54</f>
        <v/>
      </c>
      <c r="T55" s="27">
        <f>S55*(1+T52)+T53*T54</f>
        <v/>
      </c>
      <c r="U55" s="27">
        <f>T55*(1+U52)+U53*U54</f>
        <v/>
      </c>
      <c r="V55" s="27">
        <f>U55*(1+V52)+V53*V54</f>
        <v/>
      </c>
    </row>
    <row r="56">
      <c r="A56" s="4" t="inlineStr">
        <is>
          <t>s0_ea</t>
        </is>
      </c>
      <c r="B56" s="24" t="inlineStr">
        <is>
          <t>EA revenue</t>
        </is>
      </c>
      <c r="C56" s="4" t="inlineStr"/>
      <c r="D56" s="26">
        <f>'Operating_Model'!D9</f>
        <v/>
      </c>
      <c r="E56" s="26">
        <f>'Operating_Model'!E9</f>
        <v/>
      </c>
      <c r="F56" s="26">
        <f>'Operating_Model'!F9</f>
        <v/>
      </c>
      <c r="G56" s="26">
        <f>'Operating_Model'!G9</f>
        <v/>
      </c>
      <c r="H56" s="26">
        <f>'Operating_Model'!H9</f>
        <v/>
      </c>
      <c r="I56" s="26">
        <f>'Operating_Model'!I9</f>
        <v/>
      </c>
      <c r="J56" s="26">
        <f>'Operating_Model'!J9</f>
        <v/>
      </c>
      <c r="K56" s="26">
        <f>'Operating_Model'!K9</f>
        <v/>
      </c>
      <c r="L56" s="26">
        <f>'Operating_Model'!L9</f>
        <v/>
      </c>
      <c r="M56" s="26">
        <f>'Operating_Model'!M9</f>
        <v/>
      </c>
      <c r="N56" s="26">
        <f>'Operating_Model'!N9</f>
        <v/>
      </c>
      <c r="O56" s="26">
        <f>'Operating_Model'!O9</f>
        <v/>
      </c>
      <c r="P56" s="26">
        <f>'Operating_Model'!P9</f>
        <v/>
      </c>
      <c r="Q56" s="26">
        <f>'Operating_Model'!Q9</f>
        <v/>
      </c>
      <c r="R56" s="26">
        <f>'Operating_Model'!R9</f>
        <v/>
      </c>
      <c r="S56" s="27">
        <f>O56*(1+Inputs_Scenarios!$F$15)</f>
        <v/>
      </c>
      <c r="T56" s="27">
        <f>P56*(1+Inputs_Scenarios!$F$15)</f>
        <v/>
      </c>
      <c r="U56" s="27">
        <f>Q56*(1+Inputs_Scenarios!$F$15)</f>
        <v/>
      </c>
      <c r="V56" s="27">
        <f>R56*(1+Inputs_Scenarios!$F$15)</f>
        <v/>
      </c>
    </row>
    <row r="57">
      <c r="A57" s="4" t="inlineStr">
        <is>
          <t>s0_ea_ttm</t>
        </is>
      </c>
      <c r="B57" s="24" t="inlineStr">
        <is>
          <t>EA trailing 4Q</t>
        </is>
      </c>
      <c r="C57" s="4" t="inlineStr"/>
      <c r="S57" s="27">
        <f>SUM(P56:S56)</f>
        <v/>
      </c>
      <c r="T57" s="27">
        <f>SUM(Q56:T56)</f>
        <v/>
      </c>
      <c r="U57" s="27">
        <f>SUM(R56:U56)</f>
        <v/>
      </c>
      <c r="V57" s="27">
        <f>SUM(S56:V56)</f>
        <v/>
      </c>
    </row>
    <row r="58">
      <c r="A58" s="4" t="inlineStr">
        <is>
          <t>s0_atlas</t>
        </is>
      </c>
      <c r="B58" s="24" t="inlineStr">
        <is>
          <t>Atlas revenue</t>
        </is>
      </c>
      <c r="C58" s="4" t="inlineStr"/>
      <c r="S58" s="27">
        <f>(S55-S57)*S5/Inputs_Scenarios!$C$5</f>
        <v/>
      </c>
      <c r="T58" s="27">
        <f>(T55-T57)*T5/Inputs_Scenarios!$C$5</f>
        <v/>
      </c>
      <c r="U58" s="27">
        <f>(U55-U57)*U5/Inputs_Scenarios!$C$5</f>
        <v/>
      </c>
      <c r="V58" s="27">
        <f>(V55-V57)*V5/Inputs_Scenarios!$C$5</f>
        <v/>
      </c>
    </row>
    <row r="59">
      <c r="A59" s="4" t="inlineStr">
        <is>
          <t>s0_svc</t>
        </is>
      </c>
      <c r="B59" s="24" t="inlineStr">
        <is>
          <t>Services revenue</t>
        </is>
      </c>
      <c r="C59" s="4" t="inlineStr"/>
      <c r="D59" s="26">
        <f>'Operating_Model'!D11</f>
        <v/>
      </c>
      <c r="E59" s="26">
        <f>'Operating_Model'!E11</f>
        <v/>
      </c>
      <c r="F59" s="26">
        <f>'Operating_Model'!F11</f>
        <v/>
      </c>
      <c r="G59" s="26">
        <f>'Operating_Model'!G11</f>
        <v/>
      </c>
      <c r="H59" s="26">
        <f>'Operating_Model'!H11</f>
        <v/>
      </c>
      <c r="I59" s="26">
        <f>'Operating_Model'!I11</f>
        <v/>
      </c>
      <c r="J59" s="26">
        <f>'Operating_Model'!J11</f>
        <v/>
      </c>
      <c r="K59" s="26">
        <f>'Operating_Model'!K11</f>
        <v/>
      </c>
      <c r="L59" s="26">
        <f>'Operating_Model'!L11</f>
        <v/>
      </c>
      <c r="M59" s="26">
        <f>'Operating_Model'!M11</f>
        <v/>
      </c>
      <c r="N59" s="26">
        <f>'Operating_Model'!N11</f>
        <v/>
      </c>
      <c r="O59" s="26">
        <f>'Operating_Model'!O11</f>
        <v/>
      </c>
      <c r="P59" s="26">
        <f>'Operating_Model'!P11</f>
        <v/>
      </c>
      <c r="Q59" s="26">
        <f>'Operating_Model'!Q11</f>
        <v/>
      </c>
      <c r="R59" s="26">
        <f>'Operating_Model'!R11</f>
        <v/>
      </c>
      <c r="S59" s="27">
        <f>O59*(1+Inputs_Scenarios!$F$16)</f>
        <v/>
      </c>
      <c r="T59" s="27">
        <f>P59*(1+Inputs_Scenarios!$F$16)</f>
        <v/>
      </c>
      <c r="U59" s="27">
        <f>Q59*(1+Inputs_Scenarios!$F$16)</f>
        <v/>
      </c>
      <c r="V59" s="27">
        <f>R59*(1+Inputs_Scenarios!$F$16)</f>
        <v/>
      </c>
    </row>
    <row r="60">
      <c r="A60" s="4" t="inlineStr">
        <is>
          <t>s0_sub</t>
        </is>
      </c>
      <c r="B60" s="24" t="inlineStr">
        <is>
          <t>Subscription revenue</t>
        </is>
      </c>
      <c r="C60" s="4" t="inlineStr"/>
      <c r="S60" s="27">
        <f>S58+S56</f>
        <v/>
      </c>
      <c r="T60" s="27">
        <f>T58+T56</f>
        <v/>
      </c>
      <c r="U60" s="27">
        <f>U58+U56</f>
        <v/>
      </c>
      <c r="V60" s="27">
        <f>V58+V56</f>
        <v/>
      </c>
    </row>
    <row r="61">
      <c r="A61" s="4" t="inlineStr">
        <is>
          <t>s0_revenue</t>
        </is>
      </c>
      <c r="B61" s="2" t="inlineStr">
        <is>
          <t>Total revenue</t>
        </is>
      </c>
      <c r="C61" s="4" t="inlineStr"/>
      <c r="S61" s="29">
        <f>S60+S59</f>
        <v/>
      </c>
      <c r="T61" s="29">
        <f>T60+T59</f>
        <v/>
      </c>
      <c r="U61" s="29">
        <f>U60+U59</f>
        <v/>
      </c>
      <c r="V61" s="29">
        <f>V60+V59</f>
        <v/>
      </c>
    </row>
    <row r="62">
      <c r="A62" s="4" t="inlineStr">
        <is>
          <t>s0_ng_gp</t>
        </is>
      </c>
      <c r="B62" s="24" t="inlineStr">
        <is>
          <t>Non-GAAP gross profit</t>
        </is>
      </c>
      <c r="C62" s="4" t="inlineStr"/>
      <c r="S62" s="27">
        <f>S61-S60*(1-Inputs_Scenarios!$F$17)-S59*(1-Inputs_Scenarios!$F$18)+S61*(Inputs_Scenarios!$F$27+Inputs_Scenarios!$F$28)</f>
        <v/>
      </c>
      <c r="T62" s="27">
        <f>T61-T60*(1-Inputs_Scenarios!$F$17)-T59*(1-Inputs_Scenarios!$F$18)+T61*(Inputs_Scenarios!$F$27+Inputs_Scenarios!$F$28)</f>
        <v/>
      </c>
      <c r="U62" s="27">
        <f>U61-U60*(1-Inputs_Scenarios!$F$17)-U59*(1-Inputs_Scenarios!$F$18)+U61*(Inputs_Scenarios!$F$27+Inputs_Scenarios!$F$28)</f>
        <v/>
      </c>
      <c r="V62" s="27">
        <f>V61-V60*(1-Inputs_Scenarios!$F$17)-V59*(1-Inputs_Scenarios!$F$18)+V61*(Inputs_Scenarios!$F$27+Inputs_Scenarios!$F$28)</f>
        <v/>
      </c>
    </row>
    <row r="63">
      <c r="A63" s="4" t="inlineStr">
        <is>
          <t>s0_hc</t>
        </is>
      </c>
      <c r="B63" s="24" t="inlineStr">
        <is>
          <t>Employees</t>
        </is>
      </c>
      <c r="C63" s="4" t="inlineStr"/>
      <c r="G63" s="38">
        <f>'Headcount_Opex_Build'!G8</f>
        <v/>
      </c>
      <c r="H63" s="38">
        <f>'Headcount_Opex_Build'!H8</f>
        <v/>
      </c>
      <c r="I63" s="38">
        <f>'Headcount_Opex_Build'!I8</f>
        <v/>
      </c>
      <c r="J63" s="38">
        <f>'Headcount_Opex_Build'!J8</f>
        <v/>
      </c>
      <c r="K63" s="38">
        <f>'Headcount_Opex_Build'!K8</f>
        <v/>
      </c>
      <c r="L63" s="38">
        <f>'Headcount_Opex_Build'!L8</f>
        <v/>
      </c>
      <c r="M63" s="38">
        <f>'Headcount_Opex_Build'!M8</f>
        <v/>
      </c>
      <c r="N63" s="38">
        <f>'Headcount_Opex_Build'!N8</f>
        <v/>
      </c>
      <c r="O63" s="38">
        <f>'Headcount_Opex_Build'!O8</f>
        <v/>
      </c>
      <c r="P63" s="38">
        <f>'Headcount_Opex_Build'!P8</f>
        <v/>
      </c>
      <c r="Q63" s="38">
        <f>'Headcount_Opex_Build'!Q8</f>
        <v/>
      </c>
      <c r="R63" s="38">
        <f>'Headcount_Opex_Build'!R8</f>
        <v/>
      </c>
      <c r="S63" s="25">
        <f>R63+Inputs_Scenarios!$F$19</f>
        <v/>
      </c>
      <c r="T63" s="25">
        <f>S63+Inputs_Scenarios!$F$19</f>
        <v/>
      </c>
      <c r="U63" s="25">
        <f>T63+Inputs_Scenarios!$F$19</f>
        <v/>
      </c>
      <c r="V63" s="25">
        <f>U63+Inputs_Scenarios!$F$19</f>
        <v/>
      </c>
    </row>
    <row r="64">
      <c r="A64" s="4" t="inlineStr">
        <is>
          <t>s0_cph_rnd</t>
        </is>
      </c>
      <c r="B64" s="24" t="inlineStr">
        <is>
          <t>RND spend per employee</t>
        </is>
      </c>
      <c r="C64" s="4" t="inlineStr"/>
      <c r="G64" s="34">
        <f>'Headcount_Opex_Build'!G11</f>
        <v/>
      </c>
      <c r="H64" s="34">
        <f>'Headcount_Opex_Build'!H11</f>
        <v/>
      </c>
      <c r="I64" s="34">
        <f>'Headcount_Opex_Build'!I11</f>
        <v/>
      </c>
      <c r="J64" s="34">
        <f>'Headcount_Opex_Build'!J11</f>
        <v/>
      </c>
      <c r="K64" s="34">
        <f>'Headcount_Opex_Build'!K11</f>
        <v/>
      </c>
      <c r="L64" s="34">
        <f>'Headcount_Opex_Build'!L11</f>
        <v/>
      </c>
      <c r="M64" s="34">
        <f>'Headcount_Opex_Build'!M11</f>
        <v/>
      </c>
      <c r="N64" s="34">
        <f>'Headcount_Opex_Build'!N11</f>
        <v/>
      </c>
      <c r="O64" s="34">
        <f>'Headcount_Opex_Build'!O11</f>
        <v/>
      </c>
      <c r="P64" s="34">
        <f>'Headcount_Opex_Build'!P11</f>
        <v/>
      </c>
      <c r="Q64" s="34">
        <f>'Headcount_Opex_Build'!Q11</f>
        <v/>
      </c>
      <c r="R64" s="34">
        <f>'Headcount_Opex_Build'!R11</f>
        <v/>
      </c>
      <c r="S64" s="35">
        <f>R64*(1+Inputs_Scenarios!$F$21)</f>
        <v/>
      </c>
      <c r="T64" s="35">
        <f>S64*(1+Inputs_Scenarios!$F$21)</f>
        <v/>
      </c>
      <c r="U64" s="35">
        <f>T64*(1+Inputs_Scenarios!$F$21)</f>
        <v/>
      </c>
      <c r="V64" s="35">
        <f>U64*(1+Inputs_Scenarios!$F$21)</f>
        <v/>
      </c>
    </row>
    <row r="65">
      <c r="A65" s="4" t="inlineStr">
        <is>
          <t>s0_cph_snm</t>
        </is>
      </c>
      <c r="B65" s="24" t="inlineStr">
        <is>
          <t>SNM spend per employee</t>
        </is>
      </c>
      <c r="C65" s="4" t="inlineStr"/>
      <c r="G65" s="34">
        <f>'Headcount_Opex_Build'!G13</f>
        <v/>
      </c>
      <c r="H65" s="34">
        <f>'Headcount_Opex_Build'!H13</f>
        <v/>
      </c>
      <c r="I65" s="34">
        <f>'Headcount_Opex_Build'!I13</f>
        <v/>
      </c>
      <c r="J65" s="34">
        <f>'Headcount_Opex_Build'!J13</f>
        <v/>
      </c>
      <c r="K65" s="34">
        <f>'Headcount_Opex_Build'!K13</f>
        <v/>
      </c>
      <c r="L65" s="34">
        <f>'Headcount_Opex_Build'!L13</f>
        <v/>
      </c>
      <c r="M65" s="34">
        <f>'Headcount_Opex_Build'!M13</f>
        <v/>
      </c>
      <c r="N65" s="34">
        <f>'Headcount_Opex_Build'!N13</f>
        <v/>
      </c>
      <c r="O65" s="34">
        <f>'Headcount_Opex_Build'!O13</f>
        <v/>
      </c>
      <c r="P65" s="34">
        <f>'Headcount_Opex_Build'!P13</f>
        <v/>
      </c>
      <c r="Q65" s="34">
        <f>'Headcount_Opex_Build'!Q13</f>
        <v/>
      </c>
      <c r="R65" s="34">
        <f>'Headcount_Opex_Build'!R13</f>
        <v/>
      </c>
      <c r="S65" s="35">
        <f>R65*(1+Inputs_Scenarios!$F$23)</f>
        <v/>
      </c>
      <c r="T65" s="35">
        <f>S65*(1+Inputs_Scenarios!$F$23)</f>
        <v/>
      </c>
      <c r="U65" s="35">
        <f>T65*(1+Inputs_Scenarios!$F$23)</f>
        <v/>
      </c>
      <c r="V65" s="35">
        <f>U65*(1+Inputs_Scenarios!$F$23)</f>
        <v/>
      </c>
    </row>
    <row r="66">
      <c r="A66" s="4" t="inlineStr">
        <is>
          <t>s0_cph_gna</t>
        </is>
      </c>
      <c r="B66" s="24" t="inlineStr">
        <is>
          <t>GNA spend per employee</t>
        </is>
      </c>
      <c r="C66" s="4" t="inlineStr"/>
      <c r="G66" s="34">
        <f>'Headcount_Opex_Build'!G15</f>
        <v/>
      </c>
      <c r="H66" s="34">
        <f>'Headcount_Opex_Build'!H15</f>
        <v/>
      </c>
      <c r="I66" s="34">
        <f>'Headcount_Opex_Build'!I15</f>
        <v/>
      </c>
      <c r="J66" s="34">
        <f>'Headcount_Opex_Build'!J15</f>
        <v/>
      </c>
      <c r="K66" s="34">
        <f>'Headcount_Opex_Build'!K15</f>
        <v/>
      </c>
      <c r="L66" s="34">
        <f>'Headcount_Opex_Build'!L15</f>
        <v/>
      </c>
      <c r="M66" s="34">
        <f>'Headcount_Opex_Build'!M15</f>
        <v/>
      </c>
      <c r="N66" s="34">
        <f>'Headcount_Opex_Build'!N15</f>
        <v/>
      </c>
      <c r="O66" s="34">
        <f>'Headcount_Opex_Build'!O15</f>
        <v/>
      </c>
      <c r="P66" s="34">
        <f>'Headcount_Opex_Build'!P15</f>
        <v/>
      </c>
      <c r="Q66" s="34">
        <f>'Headcount_Opex_Build'!Q15</f>
        <v/>
      </c>
      <c r="R66" s="34">
        <f>'Headcount_Opex_Build'!R15</f>
        <v/>
      </c>
      <c r="S66" s="35">
        <f>R66*(1+Inputs_Scenarios!$F$25)</f>
        <v/>
      </c>
      <c r="T66" s="35">
        <f>S66*(1+Inputs_Scenarios!$F$25)</f>
        <v/>
      </c>
      <c r="U66" s="35">
        <f>T66*(1+Inputs_Scenarios!$F$25)</f>
        <v/>
      </c>
      <c r="V66" s="35">
        <f>U66*(1+Inputs_Scenarios!$F$25)</f>
        <v/>
      </c>
    </row>
    <row r="67">
      <c r="A67" s="4" t="inlineStr">
        <is>
          <t>s0_ng_opex</t>
        </is>
      </c>
      <c r="B67" s="24" t="inlineStr">
        <is>
          <t>Non-GAAP operating expenses</t>
        </is>
      </c>
      <c r="C67" s="4" t="inlineStr"/>
      <c r="S67" s="27">
        <f>S63*(S64+S65+S66)</f>
        <v/>
      </c>
      <c r="T67" s="27">
        <f>T63*(T64+T65+T66)</f>
        <v/>
      </c>
      <c r="U67" s="27">
        <f>U63*(U64+U65+U66)</f>
        <v/>
      </c>
      <c r="V67" s="27">
        <f>V63*(V64+V65+V66)</f>
        <v/>
      </c>
    </row>
    <row r="68">
      <c r="A68" s="4" t="inlineStr">
        <is>
          <t>s0_amort</t>
        </is>
      </c>
      <c r="B68" s="24" t="inlineStr">
        <is>
          <t>Amortization</t>
        </is>
      </c>
      <c r="C68" s="4" t="inlineStr"/>
      <c r="S68" s="27">
        <f>Inputs_Scenarios!$F$20</f>
        <v/>
      </c>
      <c r="T68" s="27">
        <f>Inputs_Scenarios!$F$20</f>
        <v/>
      </c>
      <c r="U68" s="27">
        <f>Inputs_Scenarios!$F$20</f>
        <v/>
      </c>
      <c r="V68" s="27">
        <f>Inputs_Scenarios!$F$20</f>
        <v/>
      </c>
    </row>
    <row r="69">
      <c r="A69" s="4" t="inlineStr">
        <is>
          <t>s0_ng_op</t>
        </is>
      </c>
      <c r="B69" s="2" t="inlineStr">
        <is>
          <t>Non-GAAP operating income</t>
        </is>
      </c>
      <c r="C69" s="4" t="inlineStr"/>
      <c r="S69" s="29">
        <f>S62-S67+S68</f>
        <v/>
      </c>
      <c r="T69" s="29">
        <f>T62-T67+T68</f>
        <v/>
      </c>
      <c r="U69" s="29">
        <f>U62-U67+U68</f>
        <v/>
      </c>
      <c r="V69" s="29">
        <f>V62-V67+V68</f>
        <v/>
      </c>
    </row>
    <row r="70">
      <c r="A70" s="4" t="inlineStr">
        <is>
          <t>s0_fcf</t>
        </is>
      </c>
      <c r="B70" s="2" t="inlineStr">
        <is>
          <t>Free cash flow</t>
        </is>
      </c>
      <c r="C70" s="4" t="inlineStr"/>
      <c r="S70" s="29">
        <f>S69*INDEX(Inputs_Scenarios!$F$29:$F$32,S6)</f>
        <v/>
      </c>
      <c r="T70" s="29">
        <f>T69*INDEX(Inputs_Scenarios!$F$29:$F$32,T6)</f>
        <v/>
      </c>
      <c r="U70" s="29">
        <f>U69*INDEX(Inputs_Scenarios!$F$29:$F$32,U6)</f>
        <v/>
      </c>
      <c r="V70" s="29">
        <f>V69*INDEX(Inputs_Scenarios!$F$29:$F$32,V6)</f>
        <v/>
      </c>
    </row>
    <row r="71">
      <c r="A71" s="4" t="inlineStr">
        <is>
          <t>s1_h</t>
        </is>
      </c>
      <c r="B71" s="2" t="inlineStr">
        <is>
          <t>Step 1: plan with actual expansion of existing customers (nrr / usage)</t>
        </is>
      </c>
      <c r="C71" s="4" t="inlineStr"/>
    </row>
    <row r="72">
      <c r="A72" s="4" t="inlineStr">
        <is>
          <t>s1_g</t>
        </is>
      </c>
      <c r="B72" s="24" t="inlineStr">
        <is>
          <t>Quarterly net expansion</t>
        </is>
      </c>
      <c r="C72" s="4" t="inlineStr"/>
      <c r="S72" s="43">
        <f>S43</f>
        <v/>
      </c>
      <c r="T72" s="43">
        <f>T43</f>
        <v/>
      </c>
      <c r="U72" s="43">
        <f>U43</f>
        <v/>
      </c>
      <c r="V72" s="43">
        <f>V43</f>
        <v/>
      </c>
    </row>
    <row r="73">
      <c r="A73" s="4" t="inlineStr">
        <is>
          <t>s1_nl</t>
        </is>
      </c>
      <c r="B73" s="24" t="inlineStr">
        <is>
          <t>Gross new logos</t>
        </is>
      </c>
      <c r="C73" s="4" t="inlineStr"/>
      <c r="S73" s="25">
        <f>Inputs_Scenarios!$F$12</f>
        <v/>
      </c>
      <c r="T73" s="25">
        <f>Inputs_Scenarios!$F$12</f>
        <v/>
      </c>
      <c r="U73" s="25">
        <f>Inputs_Scenarios!$F$12</f>
        <v/>
      </c>
      <c r="V73" s="25">
        <f>Inputs_Scenarios!$F$12</f>
        <v/>
      </c>
    </row>
    <row r="74">
      <c r="A74" s="4" t="inlineStr">
        <is>
          <t>s1_arpl</t>
        </is>
      </c>
      <c r="B74" s="24" t="inlineStr">
        <is>
          <t>ARR per new logo</t>
        </is>
      </c>
      <c r="C74" s="4" t="inlineStr"/>
      <c r="S74" s="35">
        <f>Inputs_Scenarios!$F$13</f>
        <v/>
      </c>
      <c r="T74" s="35">
        <f>Inputs_Scenarios!$F$13</f>
        <v/>
      </c>
      <c r="U74" s="35">
        <f>Inputs_Scenarios!$F$13</f>
        <v/>
      </c>
      <c r="V74" s="35">
        <f>Inputs_Scenarios!$F$13</f>
        <v/>
      </c>
    </row>
    <row r="75">
      <c r="A75" s="4" t="inlineStr">
        <is>
          <t>s1_arr</t>
        </is>
      </c>
      <c r="B75" s="24" t="inlineStr">
        <is>
          <t>ARR proxy</t>
        </is>
      </c>
      <c r="C75" s="4" t="inlineStr"/>
      <c r="G75" s="26">
        <f>'Cohort_ARR_Build'!G15</f>
        <v/>
      </c>
      <c r="H75" s="26">
        <f>'Cohort_ARR_Build'!H15</f>
        <v/>
      </c>
      <c r="I75" s="26">
        <f>'Cohort_ARR_Build'!I15</f>
        <v/>
      </c>
      <c r="J75" s="26">
        <f>'Cohort_ARR_Build'!J15</f>
        <v/>
      </c>
      <c r="K75" s="26">
        <f>'Cohort_ARR_Build'!K15</f>
        <v/>
      </c>
      <c r="L75" s="26">
        <f>'Cohort_ARR_Build'!L15</f>
        <v/>
      </c>
      <c r="M75" s="26">
        <f>'Cohort_ARR_Build'!M15</f>
        <v/>
      </c>
      <c r="N75" s="26">
        <f>'Cohort_ARR_Build'!N15</f>
        <v/>
      </c>
      <c r="O75" s="26">
        <f>'Cohort_ARR_Build'!O15</f>
        <v/>
      </c>
      <c r="P75" s="26">
        <f>'Cohort_ARR_Build'!P15</f>
        <v/>
      </c>
      <c r="Q75" s="26">
        <f>'Cohort_ARR_Build'!Q15</f>
        <v/>
      </c>
      <c r="R75" s="26">
        <f>'Cohort_ARR_Build'!R15</f>
        <v/>
      </c>
      <c r="S75" s="27">
        <f>R75*(1+S72)+S73*S74</f>
        <v/>
      </c>
      <c r="T75" s="27">
        <f>S75*(1+T72)+T73*T74</f>
        <v/>
      </c>
      <c r="U75" s="27">
        <f>T75*(1+U72)+U73*U74</f>
        <v/>
      </c>
      <c r="V75" s="27">
        <f>U75*(1+V72)+V73*V74</f>
        <v/>
      </c>
    </row>
    <row r="76">
      <c r="A76" s="4" t="inlineStr">
        <is>
          <t>s1_ea</t>
        </is>
      </c>
      <c r="B76" s="24" t="inlineStr">
        <is>
          <t>EA revenue</t>
        </is>
      </c>
      <c r="C76" s="4" t="inlineStr"/>
      <c r="D76" s="26">
        <f>'Operating_Model'!D9</f>
        <v/>
      </c>
      <c r="E76" s="26">
        <f>'Operating_Model'!E9</f>
        <v/>
      </c>
      <c r="F76" s="26">
        <f>'Operating_Model'!F9</f>
        <v/>
      </c>
      <c r="G76" s="26">
        <f>'Operating_Model'!G9</f>
        <v/>
      </c>
      <c r="H76" s="26">
        <f>'Operating_Model'!H9</f>
        <v/>
      </c>
      <c r="I76" s="26">
        <f>'Operating_Model'!I9</f>
        <v/>
      </c>
      <c r="J76" s="26">
        <f>'Operating_Model'!J9</f>
        <v/>
      </c>
      <c r="K76" s="26">
        <f>'Operating_Model'!K9</f>
        <v/>
      </c>
      <c r="L76" s="26">
        <f>'Operating_Model'!L9</f>
        <v/>
      </c>
      <c r="M76" s="26">
        <f>'Operating_Model'!M9</f>
        <v/>
      </c>
      <c r="N76" s="26">
        <f>'Operating_Model'!N9</f>
        <v/>
      </c>
      <c r="O76" s="26">
        <f>'Operating_Model'!O9</f>
        <v/>
      </c>
      <c r="P76" s="26">
        <f>'Operating_Model'!P9</f>
        <v/>
      </c>
      <c r="Q76" s="26">
        <f>'Operating_Model'!Q9</f>
        <v/>
      </c>
      <c r="R76" s="26">
        <f>'Operating_Model'!R9</f>
        <v/>
      </c>
      <c r="S76" s="27">
        <f>O76*(1+Inputs_Scenarios!$F$15)</f>
        <v/>
      </c>
      <c r="T76" s="27">
        <f>P76*(1+Inputs_Scenarios!$F$15)</f>
        <v/>
      </c>
      <c r="U76" s="27">
        <f>Q76*(1+Inputs_Scenarios!$F$15)</f>
        <v/>
      </c>
      <c r="V76" s="27">
        <f>R76*(1+Inputs_Scenarios!$F$15)</f>
        <v/>
      </c>
    </row>
    <row r="77">
      <c r="A77" s="4" t="inlineStr">
        <is>
          <t>s1_ea_ttm</t>
        </is>
      </c>
      <c r="B77" s="24" t="inlineStr">
        <is>
          <t>EA trailing 4Q</t>
        </is>
      </c>
      <c r="C77" s="4" t="inlineStr"/>
      <c r="S77" s="27">
        <f>SUM(P76:S76)</f>
        <v/>
      </c>
      <c r="T77" s="27">
        <f>SUM(Q76:T76)</f>
        <v/>
      </c>
      <c r="U77" s="27">
        <f>SUM(R76:U76)</f>
        <v/>
      </c>
      <c r="V77" s="27">
        <f>SUM(S76:V76)</f>
        <v/>
      </c>
    </row>
    <row r="78">
      <c r="A78" s="4" t="inlineStr">
        <is>
          <t>s1_atlas</t>
        </is>
      </c>
      <c r="B78" s="24" t="inlineStr">
        <is>
          <t>Atlas revenue</t>
        </is>
      </c>
      <c r="C78" s="4" t="inlineStr"/>
      <c r="S78" s="27">
        <f>(S75-S77)*S5/Inputs_Scenarios!$C$5</f>
        <v/>
      </c>
      <c r="T78" s="27">
        <f>(T75-T77)*T5/Inputs_Scenarios!$C$5</f>
        <v/>
      </c>
      <c r="U78" s="27">
        <f>(U75-U77)*U5/Inputs_Scenarios!$C$5</f>
        <v/>
      </c>
      <c r="V78" s="27">
        <f>(V75-V77)*V5/Inputs_Scenarios!$C$5</f>
        <v/>
      </c>
    </row>
    <row r="79">
      <c r="A79" s="4" t="inlineStr">
        <is>
          <t>s1_svc</t>
        </is>
      </c>
      <c r="B79" s="24" t="inlineStr">
        <is>
          <t>Services revenue</t>
        </is>
      </c>
      <c r="C79" s="4" t="inlineStr"/>
      <c r="D79" s="26">
        <f>'Operating_Model'!D11</f>
        <v/>
      </c>
      <c r="E79" s="26">
        <f>'Operating_Model'!E11</f>
        <v/>
      </c>
      <c r="F79" s="26">
        <f>'Operating_Model'!F11</f>
        <v/>
      </c>
      <c r="G79" s="26">
        <f>'Operating_Model'!G11</f>
        <v/>
      </c>
      <c r="H79" s="26">
        <f>'Operating_Model'!H11</f>
        <v/>
      </c>
      <c r="I79" s="26">
        <f>'Operating_Model'!I11</f>
        <v/>
      </c>
      <c r="J79" s="26">
        <f>'Operating_Model'!J11</f>
        <v/>
      </c>
      <c r="K79" s="26">
        <f>'Operating_Model'!K11</f>
        <v/>
      </c>
      <c r="L79" s="26">
        <f>'Operating_Model'!L11</f>
        <v/>
      </c>
      <c r="M79" s="26">
        <f>'Operating_Model'!M11</f>
        <v/>
      </c>
      <c r="N79" s="26">
        <f>'Operating_Model'!N11</f>
        <v/>
      </c>
      <c r="O79" s="26">
        <f>'Operating_Model'!O11</f>
        <v/>
      </c>
      <c r="P79" s="26">
        <f>'Operating_Model'!P11</f>
        <v/>
      </c>
      <c r="Q79" s="26">
        <f>'Operating_Model'!Q11</f>
        <v/>
      </c>
      <c r="R79" s="26">
        <f>'Operating_Model'!R11</f>
        <v/>
      </c>
      <c r="S79" s="27">
        <f>O79*(1+Inputs_Scenarios!$F$16)</f>
        <v/>
      </c>
      <c r="T79" s="27">
        <f>P79*(1+Inputs_Scenarios!$F$16)</f>
        <v/>
      </c>
      <c r="U79" s="27">
        <f>Q79*(1+Inputs_Scenarios!$F$16)</f>
        <v/>
      </c>
      <c r="V79" s="27">
        <f>R79*(1+Inputs_Scenarios!$F$16)</f>
        <v/>
      </c>
    </row>
    <row r="80">
      <c r="A80" s="4" t="inlineStr">
        <is>
          <t>s1_sub</t>
        </is>
      </c>
      <c r="B80" s="24" t="inlineStr">
        <is>
          <t>Subscription revenue</t>
        </is>
      </c>
      <c r="C80" s="4" t="inlineStr"/>
      <c r="S80" s="27">
        <f>S78+S76</f>
        <v/>
      </c>
      <c r="T80" s="27">
        <f>T78+T76</f>
        <v/>
      </c>
      <c r="U80" s="27">
        <f>U78+U76</f>
        <v/>
      </c>
      <c r="V80" s="27">
        <f>V78+V76</f>
        <v/>
      </c>
    </row>
    <row r="81">
      <c r="A81" s="4" t="inlineStr">
        <is>
          <t>s1_revenue</t>
        </is>
      </c>
      <c r="B81" s="2" t="inlineStr">
        <is>
          <t>Total revenue</t>
        </is>
      </c>
      <c r="C81" s="4" t="inlineStr"/>
      <c r="S81" s="29">
        <f>S80+S79</f>
        <v/>
      </c>
      <c r="T81" s="29">
        <f>T80+T79</f>
        <v/>
      </c>
      <c r="U81" s="29">
        <f>U80+U79</f>
        <v/>
      </c>
      <c r="V81" s="29">
        <f>V80+V79</f>
        <v/>
      </c>
    </row>
    <row r="82">
      <c r="A82" s="4" t="inlineStr">
        <is>
          <t>s1_ng_gp</t>
        </is>
      </c>
      <c r="B82" s="24" t="inlineStr">
        <is>
          <t>Non-GAAP gross profit</t>
        </is>
      </c>
      <c r="C82" s="4" t="inlineStr"/>
      <c r="S82" s="27">
        <f>S81-S80*(1-Inputs_Scenarios!$F$17)-S79*(1-Inputs_Scenarios!$F$18)+S81*(Inputs_Scenarios!$F$27+Inputs_Scenarios!$F$28)</f>
        <v/>
      </c>
      <c r="T82" s="27">
        <f>T81-T80*(1-Inputs_Scenarios!$F$17)-T79*(1-Inputs_Scenarios!$F$18)+T81*(Inputs_Scenarios!$F$27+Inputs_Scenarios!$F$28)</f>
        <v/>
      </c>
      <c r="U82" s="27">
        <f>U81-U80*(1-Inputs_Scenarios!$F$17)-U79*(1-Inputs_Scenarios!$F$18)+U81*(Inputs_Scenarios!$F$27+Inputs_Scenarios!$F$28)</f>
        <v/>
      </c>
      <c r="V82" s="27">
        <f>V81-V80*(1-Inputs_Scenarios!$F$17)-V79*(1-Inputs_Scenarios!$F$18)+V81*(Inputs_Scenarios!$F$27+Inputs_Scenarios!$F$28)</f>
        <v/>
      </c>
    </row>
    <row r="83">
      <c r="A83" s="4" t="inlineStr">
        <is>
          <t>s1_hc</t>
        </is>
      </c>
      <c r="B83" s="24" t="inlineStr">
        <is>
          <t>Employees</t>
        </is>
      </c>
      <c r="C83" s="4" t="inlineStr"/>
      <c r="G83" s="38">
        <f>'Headcount_Opex_Build'!G8</f>
        <v/>
      </c>
      <c r="H83" s="38">
        <f>'Headcount_Opex_Build'!H8</f>
        <v/>
      </c>
      <c r="I83" s="38">
        <f>'Headcount_Opex_Build'!I8</f>
        <v/>
      </c>
      <c r="J83" s="38">
        <f>'Headcount_Opex_Build'!J8</f>
        <v/>
      </c>
      <c r="K83" s="38">
        <f>'Headcount_Opex_Build'!K8</f>
        <v/>
      </c>
      <c r="L83" s="38">
        <f>'Headcount_Opex_Build'!L8</f>
        <v/>
      </c>
      <c r="M83" s="38">
        <f>'Headcount_Opex_Build'!M8</f>
        <v/>
      </c>
      <c r="N83" s="38">
        <f>'Headcount_Opex_Build'!N8</f>
        <v/>
      </c>
      <c r="O83" s="38">
        <f>'Headcount_Opex_Build'!O8</f>
        <v/>
      </c>
      <c r="P83" s="38">
        <f>'Headcount_Opex_Build'!P8</f>
        <v/>
      </c>
      <c r="Q83" s="38">
        <f>'Headcount_Opex_Build'!Q8</f>
        <v/>
      </c>
      <c r="R83" s="38">
        <f>'Headcount_Opex_Build'!R8</f>
        <v/>
      </c>
      <c r="S83" s="25">
        <f>R83+Inputs_Scenarios!$F$19</f>
        <v/>
      </c>
      <c r="T83" s="25">
        <f>S83+Inputs_Scenarios!$F$19</f>
        <v/>
      </c>
      <c r="U83" s="25">
        <f>T83+Inputs_Scenarios!$F$19</f>
        <v/>
      </c>
      <c r="V83" s="25">
        <f>U83+Inputs_Scenarios!$F$19</f>
        <v/>
      </c>
    </row>
    <row r="84">
      <c r="A84" s="4" t="inlineStr">
        <is>
          <t>s1_cph_rnd</t>
        </is>
      </c>
      <c r="B84" s="24" t="inlineStr">
        <is>
          <t>RND spend per employee</t>
        </is>
      </c>
      <c r="C84" s="4" t="inlineStr"/>
      <c r="G84" s="34">
        <f>'Headcount_Opex_Build'!G11</f>
        <v/>
      </c>
      <c r="H84" s="34">
        <f>'Headcount_Opex_Build'!H11</f>
        <v/>
      </c>
      <c r="I84" s="34">
        <f>'Headcount_Opex_Build'!I11</f>
        <v/>
      </c>
      <c r="J84" s="34">
        <f>'Headcount_Opex_Build'!J11</f>
        <v/>
      </c>
      <c r="K84" s="34">
        <f>'Headcount_Opex_Build'!K11</f>
        <v/>
      </c>
      <c r="L84" s="34">
        <f>'Headcount_Opex_Build'!L11</f>
        <v/>
      </c>
      <c r="M84" s="34">
        <f>'Headcount_Opex_Build'!M11</f>
        <v/>
      </c>
      <c r="N84" s="34">
        <f>'Headcount_Opex_Build'!N11</f>
        <v/>
      </c>
      <c r="O84" s="34">
        <f>'Headcount_Opex_Build'!O11</f>
        <v/>
      </c>
      <c r="P84" s="34">
        <f>'Headcount_Opex_Build'!P11</f>
        <v/>
      </c>
      <c r="Q84" s="34">
        <f>'Headcount_Opex_Build'!Q11</f>
        <v/>
      </c>
      <c r="R84" s="34">
        <f>'Headcount_Opex_Build'!R11</f>
        <v/>
      </c>
      <c r="S84" s="35">
        <f>R84*(1+Inputs_Scenarios!$F$21)</f>
        <v/>
      </c>
      <c r="T84" s="35">
        <f>S84*(1+Inputs_Scenarios!$F$21)</f>
        <v/>
      </c>
      <c r="U84" s="35">
        <f>T84*(1+Inputs_Scenarios!$F$21)</f>
        <v/>
      </c>
      <c r="V84" s="35">
        <f>U84*(1+Inputs_Scenarios!$F$21)</f>
        <v/>
      </c>
    </row>
    <row r="85">
      <c r="A85" s="4" t="inlineStr">
        <is>
          <t>s1_cph_snm</t>
        </is>
      </c>
      <c r="B85" s="24" t="inlineStr">
        <is>
          <t>SNM spend per employee</t>
        </is>
      </c>
      <c r="C85" s="4" t="inlineStr"/>
      <c r="G85" s="34">
        <f>'Headcount_Opex_Build'!G13</f>
        <v/>
      </c>
      <c r="H85" s="34">
        <f>'Headcount_Opex_Build'!H13</f>
        <v/>
      </c>
      <c r="I85" s="34">
        <f>'Headcount_Opex_Build'!I13</f>
        <v/>
      </c>
      <c r="J85" s="34">
        <f>'Headcount_Opex_Build'!J13</f>
        <v/>
      </c>
      <c r="K85" s="34">
        <f>'Headcount_Opex_Build'!K13</f>
        <v/>
      </c>
      <c r="L85" s="34">
        <f>'Headcount_Opex_Build'!L13</f>
        <v/>
      </c>
      <c r="M85" s="34">
        <f>'Headcount_Opex_Build'!M13</f>
        <v/>
      </c>
      <c r="N85" s="34">
        <f>'Headcount_Opex_Build'!N13</f>
        <v/>
      </c>
      <c r="O85" s="34">
        <f>'Headcount_Opex_Build'!O13</f>
        <v/>
      </c>
      <c r="P85" s="34">
        <f>'Headcount_Opex_Build'!P13</f>
        <v/>
      </c>
      <c r="Q85" s="34">
        <f>'Headcount_Opex_Build'!Q13</f>
        <v/>
      </c>
      <c r="R85" s="34">
        <f>'Headcount_Opex_Build'!R13</f>
        <v/>
      </c>
      <c r="S85" s="35">
        <f>R85*(1+Inputs_Scenarios!$F$23)</f>
        <v/>
      </c>
      <c r="T85" s="35">
        <f>S85*(1+Inputs_Scenarios!$F$23)</f>
        <v/>
      </c>
      <c r="U85" s="35">
        <f>T85*(1+Inputs_Scenarios!$F$23)</f>
        <v/>
      </c>
      <c r="V85" s="35">
        <f>U85*(1+Inputs_Scenarios!$F$23)</f>
        <v/>
      </c>
    </row>
    <row r="86">
      <c r="A86" s="4" t="inlineStr">
        <is>
          <t>s1_cph_gna</t>
        </is>
      </c>
      <c r="B86" s="24" t="inlineStr">
        <is>
          <t>GNA spend per employee</t>
        </is>
      </c>
      <c r="C86" s="4" t="inlineStr"/>
      <c r="G86" s="34">
        <f>'Headcount_Opex_Build'!G15</f>
        <v/>
      </c>
      <c r="H86" s="34">
        <f>'Headcount_Opex_Build'!H15</f>
        <v/>
      </c>
      <c r="I86" s="34">
        <f>'Headcount_Opex_Build'!I15</f>
        <v/>
      </c>
      <c r="J86" s="34">
        <f>'Headcount_Opex_Build'!J15</f>
        <v/>
      </c>
      <c r="K86" s="34">
        <f>'Headcount_Opex_Build'!K15</f>
        <v/>
      </c>
      <c r="L86" s="34">
        <f>'Headcount_Opex_Build'!L15</f>
        <v/>
      </c>
      <c r="M86" s="34">
        <f>'Headcount_Opex_Build'!M15</f>
        <v/>
      </c>
      <c r="N86" s="34">
        <f>'Headcount_Opex_Build'!N15</f>
        <v/>
      </c>
      <c r="O86" s="34">
        <f>'Headcount_Opex_Build'!O15</f>
        <v/>
      </c>
      <c r="P86" s="34">
        <f>'Headcount_Opex_Build'!P15</f>
        <v/>
      </c>
      <c r="Q86" s="34">
        <f>'Headcount_Opex_Build'!Q15</f>
        <v/>
      </c>
      <c r="R86" s="34">
        <f>'Headcount_Opex_Build'!R15</f>
        <v/>
      </c>
      <c r="S86" s="35">
        <f>R86*(1+Inputs_Scenarios!$F$25)</f>
        <v/>
      </c>
      <c r="T86" s="35">
        <f>S86*(1+Inputs_Scenarios!$F$25)</f>
        <v/>
      </c>
      <c r="U86" s="35">
        <f>T86*(1+Inputs_Scenarios!$F$25)</f>
        <v/>
      </c>
      <c r="V86" s="35">
        <f>U86*(1+Inputs_Scenarios!$F$25)</f>
        <v/>
      </c>
    </row>
    <row r="87">
      <c r="A87" s="4" t="inlineStr">
        <is>
          <t>s1_ng_opex</t>
        </is>
      </c>
      <c r="B87" s="24" t="inlineStr">
        <is>
          <t>Non-GAAP operating expenses</t>
        </is>
      </c>
      <c r="C87" s="4" t="inlineStr"/>
      <c r="S87" s="27">
        <f>S83*(S84+S85+S86)</f>
        <v/>
      </c>
      <c r="T87" s="27">
        <f>T83*(T84+T85+T86)</f>
        <v/>
      </c>
      <c r="U87" s="27">
        <f>U83*(U84+U85+U86)</f>
        <v/>
      </c>
      <c r="V87" s="27">
        <f>V83*(V84+V85+V86)</f>
        <v/>
      </c>
    </row>
    <row r="88">
      <c r="A88" s="4" t="inlineStr">
        <is>
          <t>s1_amort</t>
        </is>
      </c>
      <c r="B88" s="24" t="inlineStr">
        <is>
          <t>Amortization</t>
        </is>
      </c>
      <c r="C88" s="4" t="inlineStr"/>
      <c r="S88" s="27">
        <f>Inputs_Scenarios!$F$20</f>
        <v/>
      </c>
      <c r="T88" s="27">
        <f>Inputs_Scenarios!$F$20</f>
        <v/>
      </c>
      <c r="U88" s="27">
        <f>Inputs_Scenarios!$F$20</f>
        <v/>
      </c>
      <c r="V88" s="27">
        <f>Inputs_Scenarios!$F$20</f>
        <v/>
      </c>
    </row>
    <row r="89">
      <c r="A89" s="4" t="inlineStr">
        <is>
          <t>s1_ng_op</t>
        </is>
      </c>
      <c r="B89" s="2" t="inlineStr">
        <is>
          <t>Non-GAAP operating income</t>
        </is>
      </c>
      <c r="C89" s="4" t="inlineStr"/>
      <c r="S89" s="29">
        <f>S82-S87+S88</f>
        <v/>
      </c>
      <c r="T89" s="29">
        <f>T82-T87+T88</f>
        <v/>
      </c>
      <c r="U89" s="29">
        <f>U82-U87+U88</f>
        <v/>
      </c>
      <c r="V89" s="29">
        <f>V82-V87+V88</f>
        <v/>
      </c>
    </row>
    <row r="90">
      <c r="A90" s="4" t="inlineStr">
        <is>
          <t>s1_fcf</t>
        </is>
      </c>
      <c r="B90" s="2" t="inlineStr">
        <is>
          <t>Free cash flow</t>
        </is>
      </c>
      <c r="C90" s="4" t="inlineStr"/>
      <c r="S90" s="29">
        <f>S89*INDEX(Inputs_Scenarios!$F$29:$F$32,S6)</f>
        <v/>
      </c>
      <c r="T90" s="29">
        <f>T89*INDEX(Inputs_Scenarios!$F$29:$F$32,T6)</f>
        <v/>
      </c>
      <c r="U90" s="29">
        <f>U89*INDEX(Inputs_Scenarios!$F$29:$F$32,U6)</f>
        <v/>
      </c>
      <c r="V90" s="29">
        <f>V89*INDEX(Inputs_Scenarios!$F$29:$F$32,V6)</f>
        <v/>
      </c>
    </row>
    <row r="91">
      <c r="A91" s="4" t="inlineStr">
        <is>
          <t>s2_h</t>
        </is>
      </c>
      <c r="B91" s="2" t="inlineStr">
        <is>
          <t>Step 2: plan with actual expansion of existing customers (nrr / usage), new-logo volume</t>
        </is>
      </c>
      <c r="C91" s="4" t="inlineStr"/>
    </row>
    <row r="92">
      <c r="A92" s="4" t="inlineStr">
        <is>
          <t>s2_g</t>
        </is>
      </c>
      <c r="B92" s="24" t="inlineStr">
        <is>
          <t>Quarterly net expansion</t>
        </is>
      </c>
      <c r="C92" s="4" t="inlineStr"/>
      <c r="S92" s="43">
        <f>S43</f>
        <v/>
      </c>
      <c r="T92" s="43">
        <f>T43</f>
        <v/>
      </c>
      <c r="U92" s="43">
        <f>U43</f>
        <v/>
      </c>
      <c r="V92" s="43">
        <f>V43</f>
        <v/>
      </c>
    </row>
    <row r="93">
      <c r="A93" s="4" t="inlineStr">
        <is>
          <t>s2_nl</t>
        </is>
      </c>
      <c r="B93" s="24" t="inlineStr">
        <is>
          <t>Gross new logos</t>
        </is>
      </c>
      <c r="C93" s="4" t="inlineStr"/>
      <c r="S93" s="25">
        <f>S44</f>
        <v/>
      </c>
      <c r="T93" s="25">
        <f>T44</f>
        <v/>
      </c>
      <c r="U93" s="25">
        <f>U44</f>
        <v/>
      </c>
      <c r="V93" s="25">
        <f>V44</f>
        <v/>
      </c>
    </row>
    <row r="94">
      <c r="A94" s="4" t="inlineStr">
        <is>
          <t>s2_arpl</t>
        </is>
      </c>
      <c r="B94" s="24" t="inlineStr">
        <is>
          <t>ARR per new logo</t>
        </is>
      </c>
      <c r="C94" s="4" t="inlineStr"/>
      <c r="S94" s="35">
        <f>Inputs_Scenarios!$F$13</f>
        <v/>
      </c>
      <c r="T94" s="35">
        <f>Inputs_Scenarios!$F$13</f>
        <v/>
      </c>
      <c r="U94" s="35">
        <f>Inputs_Scenarios!$F$13</f>
        <v/>
      </c>
      <c r="V94" s="35">
        <f>Inputs_Scenarios!$F$13</f>
        <v/>
      </c>
    </row>
    <row r="95">
      <c r="A95" s="4" t="inlineStr">
        <is>
          <t>s2_arr</t>
        </is>
      </c>
      <c r="B95" s="24" t="inlineStr">
        <is>
          <t>ARR proxy</t>
        </is>
      </c>
      <c r="C95" s="4" t="inlineStr"/>
      <c r="G95" s="26">
        <f>'Cohort_ARR_Build'!G15</f>
        <v/>
      </c>
      <c r="H95" s="26">
        <f>'Cohort_ARR_Build'!H15</f>
        <v/>
      </c>
      <c r="I95" s="26">
        <f>'Cohort_ARR_Build'!I15</f>
        <v/>
      </c>
      <c r="J95" s="26">
        <f>'Cohort_ARR_Build'!J15</f>
        <v/>
      </c>
      <c r="K95" s="26">
        <f>'Cohort_ARR_Build'!K15</f>
        <v/>
      </c>
      <c r="L95" s="26">
        <f>'Cohort_ARR_Build'!L15</f>
        <v/>
      </c>
      <c r="M95" s="26">
        <f>'Cohort_ARR_Build'!M15</f>
        <v/>
      </c>
      <c r="N95" s="26">
        <f>'Cohort_ARR_Build'!N15</f>
        <v/>
      </c>
      <c r="O95" s="26">
        <f>'Cohort_ARR_Build'!O15</f>
        <v/>
      </c>
      <c r="P95" s="26">
        <f>'Cohort_ARR_Build'!P15</f>
        <v/>
      </c>
      <c r="Q95" s="26">
        <f>'Cohort_ARR_Build'!Q15</f>
        <v/>
      </c>
      <c r="R95" s="26">
        <f>'Cohort_ARR_Build'!R15</f>
        <v/>
      </c>
      <c r="S95" s="27">
        <f>R95*(1+S92)+S93*S94</f>
        <v/>
      </c>
      <c r="T95" s="27">
        <f>S95*(1+T92)+T93*T94</f>
        <v/>
      </c>
      <c r="U95" s="27">
        <f>T95*(1+U92)+U93*U94</f>
        <v/>
      </c>
      <c r="V95" s="27">
        <f>U95*(1+V92)+V93*V94</f>
        <v/>
      </c>
    </row>
    <row r="96">
      <c r="A96" s="4" t="inlineStr">
        <is>
          <t>s2_ea</t>
        </is>
      </c>
      <c r="B96" s="24" t="inlineStr">
        <is>
          <t>EA revenue</t>
        </is>
      </c>
      <c r="C96" s="4" t="inlineStr"/>
      <c r="D96" s="26">
        <f>'Operating_Model'!D9</f>
        <v/>
      </c>
      <c r="E96" s="26">
        <f>'Operating_Model'!E9</f>
        <v/>
      </c>
      <c r="F96" s="26">
        <f>'Operating_Model'!F9</f>
        <v/>
      </c>
      <c r="G96" s="26">
        <f>'Operating_Model'!G9</f>
        <v/>
      </c>
      <c r="H96" s="26">
        <f>'Operating_Model'!H9</f>
        <v/>
      </c>
      <c r="I96" s="26">
        <f>'Operating_Model'!I9</f>
        <v/>
      </c>
      <c r="J96" s="26">
        <f>'Operating_Model'!J9</f>
        <v/>
      </c>
      <c r="K96" s="26">
        <f>'Operating_Model'!K9</f>
        <v/>
      </c>
      <c r="L96" s="26">
        <f>'Operating_Model'!L9</f>
        <v/>
      </c>
      <c r="M96" s="26">
        <f>'Operating_Model'!M9</f>
        <v/>
      </c>
      <c r="N96" s="26">
        <f>'Operating_Model'!N9</f>
        <v/>
      </c>
      <c r="O96" s="26">
        <f>'Operating_Model'!O9</f>
        <v/>
      </c>
      <c r="P96" s="26">
        <f>'Operating_Model'!P9</f>
        <v/>
      </c>
      <c r="Q96" s="26">
        <f>'Operating_Model'!Q9</f>
        <v/>
      </c>
      <c r="R96" s="26">
        <f>'Operating_Model'!R9</f>
        <v/>
      </c>
      <c r="S96" s="27">
        <f>O96*(1+Inputs_Scenarios!$F$15)</f>
        <v/>
      </c>
      <c r="T96" s="27">
        <f>P96*(1+Inputs_Scenarios!$F$15)</f>
        <v/>
      </c>
      <c r="U96" s="27">
        <f>Q96*(1+Inputs_Scenarios!$F$15)</f>
        <v/>
      </c>
      <c r="V96" s="27">
        <f>R96*(1+Inputs_Scenarios!$F$15)</f>
        <v/>
      </c>
    </row>
    <row r="97">
      <c r="A97" s="4" t="inlineStr">
        <is>
          <t>s2_ea_ttm</t>
        </is>
      </c>
      <c r="B97" s="24" t="inlineStr">
        <is>
          <t>EA trailing 4Q</t>
        </is>
      </c>
      <c r="C97" s="4" t="inlineStr"/>
      <c r="S97" s="27">
        <f>SUM(P96:S96)</f>
        <v/>
      </c>
      <c r="T97" s="27">
        <f>SUM(Q96:T96)</f>
        <v/>
      </c>
      <c r="U97" s="27">
        <f>SUM(R96:U96)</f>
        <v/>
      </c>
      <c r="V97" s="27">
        <f>SUM(S96:V96)</f>
        <v/>
      </c>
    </row>
    <row r="98">
      <c r="A98" s="4" t="inlineStr">
        <is>
          <t>s2_atlas</t>
        </is>
      </c>
      <c r="B98" s="24" t="inlineStr">
        <is>
          <t>Atlas revenue</t>
        </is>
      </c>
      <c r="C98" s="4" t="inlineStr"/>
      <c r="S98" s="27">
        <f>(S95-S97)*S5/Inputs_Scenarios!$C$5</f>
        <v/>
      </c>
      <c r="T98" s="27">
        <f>(T95-T97)*T5/Inputs_Scenarios!$C$5</f>
        <v/>
      </c>
      <c r="U98" s="27">
        <f>(U95-U97)*U5/Inputs_Scenarios!$C$5</f>
        <v/>
      </c>
      <c r="V98" s="27">
        <f>(V95-V97)*V5/Inputs_Scenarios!$C$5</f>
        <v/>
      </c>
    </row>
    <row r="99">
      <c r="A99" s="4" t="inlineStr">
        <is>
          <t>s2_svc</t>
        </is>
      </c>
      <c r="B99" s="24" t="inlineStr">
        <is>
          <t>Services revenue</t>
        </is>
      </c>
      <c r="C99" s="4" t="inlineStr"/>
      <c r="D99" s="26">
        <f>'Operating_Model'!D11</f>
        <v/>
      </c>
      <c r="E99" s="26">
        <f>'Operating_Model'!E11</f>
        <v/>
      </c>
      <c r="F99" s="26">
        <f>'Operating_Model'!F11</f>
        <v/>
      </c>
      <c r="G99" s="26">
        <f>'Operating_Model'!G11</f>
        <v/>
      </c>
      <c r="H99" s="26">
        <f>'Operating_Model'!H11</f>
        <v/>
      </c>
      <c r="I99" s="26">
        <f>'Operating_Model'!I11</f>
        <v/>
      </c>
      <c r="J99" s="26">
        <f>'Operating_Model'!J11</f>
        <v/>
      </c>
      <c r="K99" s="26">
        <f>'Operating_Model'!K11</f>
        <v/>
      </c>
      <c r="L99" s="26">
        <f>'Operating_Model'!L11</f>
        <v/>
      </c>
      <c r="M99" s="26">
        <f>'Operating_Model'!M11</f>
        <v/>
      </c>
      <c r="N99" s="26">
        <f>'Operating_Model'!N11</f>
        <v/>
      </c>
      <c r="O99" s="26">
        <f>'Operating_Model'!O11</f>
        <v/>
      </c>
      <c r="P99" s="26">
        <f>'Operating_Model'!P11</f>
        <v/>
      </c>
      <c r="Q99" s="26">
        <f>'Operating_Model'!Q11</f>
        <v/>
      </c>
      <c r="R99" s="26">
        <f>'Operating_Model'!R11</f>
        <v/>
      </c>
      <c r="S99" s="27">
        <f>O99*(1+Inputs_Scenarios!$F$16)</f>
        <v/>
      </c>
      <c r="T99" s="27">
        <f>P99*(1+Inputs_Scenarios!$F$16)</f>
        <v/>
      </c>
      <c r="U99" s="27">
        <f>Q99*(1+Inputs_Scenarios!$F$16)</f>
        <v/>
      </c>
      <c r="V99" s="27">
        <f>R99*(1+Inputs_Scenarios!$F$16)</f>
        <v/>
      </c>
    </row>
    <row r="100">
      <c r="A100" s="4" t="inlineStr">
        <is>
          <t>s2_sub</t>
        </is>
      </c>
      <c r="B100" s="24" t="inlineStr">
        <is>
          <t>Subscription revenue</t>
        </is>
      </c>
      <c r="C100" s="4" t="inlineStr"/>
      <c r="S100" s="27">
        <f>S98+S96</f>
        <v/>
      </c>
      <c r="T100" s="27">
        <f>T98+T96</f>
        <v/>
      </c>
      <c r="U100" s="27">
        <f>U98+U96</f>
        <v/>
      </c>
      <c r="V100" s="27">
        <f>V98+V96</f>
        <v/>
      </c>
    </row>
    <row r="101">
      <c r="A101" s="4" t="inlineStr">
        <is>
          <t>s2_revenue</t>
        </is>
      </c>
      <c r="B101" s="2" t="inlineStr">
        <is>
          <t>Total revenue</t>
        </is>
      </c>
      <c r="C101" s="4" t="inlineStr"/>
      <c r="S101" s="29">
        <f>S100+S99</f>
        <v/>
      </c>
      <c r="T101" s="29">
        <f>T100+T99</f>
        <v/>
      </c>
      <c r="U101" s="29">
        <f>U100+U99</f>
        <v/>
      </c>
      <c r="V101" s="29">
        <f>V100+V99</f>
        <v/>
      </c>
    </row>
    <row r="102">
      <c r="A102" s="4" t="inlineStr">
        <is>
          <t>s2_ng_gp</t>
        </is>
      </c>
      <c r="B102" s="24" t="inlineStr">
        <is>
          <t>Non-GAAP gross profit</t>
        </is>
      </c>
      <c r="C102" s="4" t="inlineStr"/>
      <c r="S102" s="27">
        <f>S101-S100*(1-Inputs_Scenarios!$F$17)-S99*(1-Inputs_Scenarios!$F$18)+S101*(Inputs_Scenarios!$F$27+Inputs_Scenarios!$F$28)</f>
        <v/>
      </c>
      <c r="T102" s="27">
        <f>T101-T100*(1-Inputs_Scenarios!$F$17)-T99*(1-Inputs_Scenarios!$F$18)+T101*(Inputs_Scenarios!$F$27+Inputs_Scenarios!$F$28)</f>
        <v/>
      </c>
      <c r="U102" s="27">
        <f>U101-U100*(1-Inputs_Scenarios!$F$17)-U99*(1-Inputs_Scenarios!$F$18)+U101*(Inputs_Scenarios!$F$27+Inputs_Scenarios!$F$28)</f>
        <v/>
      </c>
      <c r="V102" s="27">
        <f>V101-V100*(1-Inputs_Scenarios!$F$17)-V99*(1-Inputs_Scenarios!$F$18)+V101*(Inputs_Scenarios!$F$27+Inputs_Scenarios!$F$28)</f>
        <v/>
      </c>
    </row>
    <row r="103">
      <c r="A103" s="4" t="inlineStr">
        <is>
          <t>s2_hc</t>
        </is>
      </c>
      <c r="B103" s="24" t="inlineStr">
        <is>
          <t>Employees</t>
        </is>
      </c>
      <c r="C103" s="4" t="inlineStr"/>
      <c r="G103" s="38">
        <f>'Headcount_Opex_Build'!G8</f>
        <v/>
      </c>
      <c r="H103" s="38">
        <f>'Headcount_Opex_Build'!H8</f>
        <v/>
      </c>
      <c r="I103" s="38">
        <f>'Headcount_Opex_Build'!I8</f>
        <v/>
      </c>
      <c r="J103" s="38">
        <f>'Headcount_Opex_Build'!J8</f>
        <v/>
      </c>
      <c r="K103" s="38">
        <f>'Headcount_Opex_Build'!K8</f>
        <v/>
      </c>
      <c r="L103" s="38">
        <f>'Headcount_Opex_Build'!L8</f>
        <v/>
      </c>
      <c r="M103" s="38">
        <f>'Headcount_Opex_Build'!M8</f>
        <v/>
      </c>
      <c r="N103" s="38">
        <f>'Headcount_Opex_Build'!N8</f>
        <v/>
      </c>
      <c r="O103" s="38">
        <f>'Headcount_Opex_Build'!O8</f>
        <v/>
      </c>
      <c r="P103" s="38">
        <f>'Headcount_Opex_Build'!P8</f>
        <v/>
      </c>
      <c r="Q103" s="38">
        <f>'Headcount_Opex_Build'!Q8</f>
        <v/>
      </c>
      <c r="R103" s="38">
        <f>'Headcount_Opex_Build'!R8</f>
        <v/>
      </c>
      <c r="S103" s="25">
        <f>R103+Inputs_Scenarios!$F$19</f>
        <v/>
      </c>
      <c r="T103" s="25">
        <f>S103+Inputs_Scenarios!$F$19</f>
        <v/>
      </c>
      <c r="U103" s="25">
        <f>T103+Inputs_Scenarios!$F$19</f>
        <v/>
      </c>
      <c r="V103" s="25">
        <f>U103+Inputs_Scenarios!$F$19</f>
        <v/>
      </c>
    </row>
    <row r="104">
      <c r="A104" s="4" t="inlineStr">
        <is>
          <t>s2_cph_rnd</t>
        </is>
      </c>
      <c r="B104" s="24" t="inlineStr">
        <is>
          <t>RND spend per employee</t>
        </is>
      </c>
      <c r="C104" s="4" t="inlineStr"/>
      <c r="G104" s="34">
        <f>'Headcount_Opex_Build'!G11</f>
        <v/>
      </c>
      <c r="H104" s="34">
        <f>'Headcount_Opex_Build'!H11</f>
        <v/>
      </c>
      <c r="I104" s="34">
        <f>'Headcount_Opex_Build'!I11</f>
        <v/>
      </c>
      <c r="J104" s="34">
        <f>'Headcount_Opex_Build'!J11</f>
        <v/>
      </c>
      <c r="K104" s="34">
        <f>'Headcount_Opex_Build'!K11</f>
        <v/>
      </c>
      <c r="L104" s="34">
        <f>'Headcount_Opex_Build'!L11</f>
        <v/>
      </c>
      <c r="M104" s="34">
        <f>'Headcount_Opex_Build'!M11</f>
        <v/>
      </c>
      <c r="N104" s="34">
        <f>'Headcount_Opex_Build'!N11</f>
        <v/>
      </c>
      <c r="O104" s="34">
        <f>'Headcount_Opex_Build'!O11</f>
        <v/>
      </c>
      <c r="P104" s="34">
        <f>'Headcount_Opex_Build'!P11</f>
        <v/>
      </c>
      <c r="Q104" s="34">
        <f>'Headcount_Opex_Build'!Q11</f>
        <v/>
      </c>
      <c r="R104" s="34">
        <f>'Headcount_Opex_Build'!R11</f>
        <v/>
      </c>
      <c r="S104" s="35">
        <f>R104*(1+Inputs_Scenarios!$F$21)</f>
        <v/>
      </c>
      <c r="T104" s="35">
        <f>S104*(1+Inputs_Scenarios!$F$21)</f>
        <v/>
      </c>
      <c r="U104" s="35">
        <f>T104*(1+Inputs_Scenarios!$F$21)</f>
        <v/>
      </c>
      <c r="V104" s="35">
        <f>U104*(1+Inputs_Scenarios!$F$21)</f>
        <v/>
      </c>
    </row>
    <row r="105">
      <c r="A105" s="4" t="inlineStr">
        <is>
          <t>s2_cph_snm</t>
        </is>
      </c>
      <c r="B105" s="24" t="inlineStr">
        <is>
          <t>SNM spend per employee</t>
        </is>
      </c>
      <c r="C105" s="4" t="inlineStr"/>
      <c r="G105" s="34">
        <f>'Headcount_Opex_Build'!G13</f>
        <v/>
      </c>
      <c r="H105" s="34">
        <f>'Headcount_Opex_Build'!H13</f>
        <v/>
      </c>
      <c r="I105" s="34">
        <f>'Headcount_Opex_Build'!I13</f>
        <v/>
      </c>
      <c r="J105" s="34">
        <f>'Headcount_Opex_Build'!J13</f>
        <v/>
      </c>
      <c r="K105" s="34">
        <f>'Headcount_Opex_Build'!K13</f>
        <v/>
      </c>
      <c r="L105" s="34">
        <f>'Headcount_Opex_Build'!L13</f>
        <v/>
      </c>
      <c r="M105" s="34">
        <f>'Headcount_Opex_Build'!M13</f>
        <v/>
      </c>
      <c r="N105" s="34">
        <f>'Headcount_Opex_Build'!N13</f>
        <v/>
      </c>
      <c r="O105" s="34">
        <f>'Headcount_Opex_Build'!O13</f>
        <v/>
      </c>
      <c r="P105" s="34">
        <f>'Headcount_Opex_Build'!P13</f>
        <v/>
      </c>
      <c r="Q105" s="34">
        <f>'Headcount_Opex_Build'!Q13</f>
        <v/>
      </c>
      <c r="R105" s="34">
        <f>'Headcount_Opex_Build'!R13</f>
        <v/>
      </c>
      <c r="S105" s="35">
        <f>R105*(1+Inputs_Scenarios!$F$23)</f>
        <v/>
      </c>
      <c r="T105" s="35">
        <f>S105*(1+Inputs_Scenarios!$F$23)</f>
        <v/>
      </c>
      <c r="U105" s="35">
        <f>T105*(1+Inputs_Scenarios!$F$23)</f>
        <v/>
      </c>
      <c r="V105" s="35">
        <f>U105*(1+Inputs_Scenarios!$F$23)</f>
        <v/>
      </c>
    </row>
    <row r="106">
      <c r="A106" s="4" t="inlineStr">
        <is>
          <t>s2_cph_gna</t>
        </is>
      </c>
      <c r="B106" s="24" t="inlineStr">
        <is>
          <t>GNA spend per employee</t>
        </is>
      </c>
      <c r="C106" s="4" t="inlineStr"/>
      <c r="G106" s="34">
        <f>'Headcount_Opex_Build'!G15</f>
        <v/>
      </c>
      <c r="H106" s="34">
        <f>'Headcount_Opex_Build'!H15</f>
        <v/>
      </c>
      <c r="I106" s="34">
        <f>'Headcount_Opex_Build'!I15</f>
        <v/>
      </c>
      <c r="J106" s="34">
        <f>'Headcount_Opex_Build'!J15</f>
        <v/>
      </c>
      <c r="K106" s="34">
        <f>'Headcount_Opex_Build'!K15</f>
        <v/>
      </c>
      <c r="L106" s="34">
        <f>'Headcount_Opex_Build'!L15</f>
        <v/>
      </c>
      <c r="M106" s="34">
        <f>'Headcount_Opex_Build'!M15</f>
        <v/>
      </c>
      <c r="N106" s="34">
        <f>'Headcount_Opex_Build'!N15</f>
        <v/>
      </c>
      <c r="O106" s="34">
        <f>'Headcount_Opex_Build'!O15</f>
        <v/>
      </c>
      <c r="P106" s="34">
        <f>'Headcount_Opex_Build'!P15</f>
        <v/>
      </c>
      <c r="Q106" s="34">
        <f>'Headcount_Opex_Build'!Q15</f>
        <v/>
      </c>
      <c r="R106" s="34">
        <f>'Headcount_Opex_Build'!R15</f>
        <v/>
      </c>
      <c r="S106" s="35">
        <f>R106*(1+Inputs_Scenarios!$F$25)</f>
        <v/>
      </c>
      <c r="T106" s="35">
        <f>S106*(1+Inputs_Scenarios!$F$25)</f>
        <v/>
      </c>
      <c r="U106" s="35">
        <f>T106*(1+Inputs_Scenarios!$F$25)</f>
        <v/>
      </c>
      <c r="V106" s="35">
        <f>U106*(1+Inputs_Scenarios!$F$25)</f>
        <v/>
      </c>
    </row>
    <row r="107">
      <c r="A107" s="4" t="inlineStr">
        <is>
          <t>s2_ng_opex</t>
        </is>
      </c>
      <c r="B107" s="24" t="inlineStr">
        <is>
          <t>Non-GAAP operating expenses</t>
        </is>
      </c>
      <c r="C107" s="4" t="inlineStr"/>
      <c r="S107" s="27">
        <f>S103*(S104+S105+S106)</f>
        <v/>
      </c>
      <c r="T107" s="27">
        <f>T103*(T104+T105+T106)</f>
        <v/>
      </c>
      <c r="U107" s="27">
        <f>U103*(U104+U105+U106)</f>
        <v/>
      </c>
      <c r="V107" s="27">
        <f>V103*(V104+V105+V106)</f>
        <v/>
      </c>
    </row>
    <row r="108">
      <c r="A108" s="4" t="inlineStr">
        <is>
          <t>s2_amort</t>
        </is>
      </c>
      <c r="B108" s="24" t="inlineStr">
        <is>
          <t>Amortization</t>
        </is>
      </c>
      <c r="C108" s="4" t="inlineStr"/>
      <c r="S108" s="27">
        <f>Inputs_Scenarios!$F$20</f>
        <v/>
      </c>
      <c r="T108" s="27">
        <f>Inputs_Scenarios!$F$20</f>
        <v/>
      </c>
      <c r="U108" s="27">
        <f>Inputs_Scenarios!$F$20</f>
        <v/>
      </c>
      <c r="V108" s="27">
        <f>Inputs_Scenarios!$F$20</f>
        <v/>
      </c>
    </row>
    <row r="109">
      <c r="A109" s="4" t="inlineStr">
        <is>
          <t>s2_ng_op</t>
        </is>
      </c>
      <c r="B109" s="2" t="inlineStr">
        <is>
          <t>Non-GAAP operating income</t>
        </is>
      </c>
      <c r="C109" s="4" t="inlineStr"/>
      <c r="S109" s="29">
        <f>S102-S107+S108</f>
        <v/>
      </c>
      <c r="T109" s="29">
        <f>T102-T107+T108</f>
        <v/>
      </c>
      <c r="U109" s="29">
        <f>U102-U107+U108</f>
        <v/>
      </c>
      <c r="V109" s="29">
        <f>V102-V107+V108</f>
        <v/>
      </c>
    </row>
    <row r="110">
      <c r="A110" s="4" t="inlineStr">
        <is>
          <t>s2_fcf</t>
        </is>
      </c>
      <c r="B110" s="2" t="inlineStr">
        <is>
          <t>Free cash flow</t>
        </is>
      </c>
      <c r="C110" s="4" t="inlineStr"/>
      <c r="S110" s="29">
        <f>S109*INDEX(Inputs_Scenarios!$F$29:$F$32,S6)</f>
        <v/>
      </c>
      <c r="T110" s="29">
        <f>T109*INDEX(Inputs_Scenarios!$F$29:$F$32,T6)</f>
        <v/>
      </c>
      <c r="U110" s="29">
        <f>U109*INDEX(Inputs_Scenarios!$F$29:$F$32,U6)</f>
        <v/>
      </c>
      <c r="V110" s="29">
        <f>V109*INDEX(Inputs_Scenarios!$F$29:$F$32,V6)</f>
        <v/>
      </c>
    </row>
    <row r="111">
      <c r="A111" s="4" t="inlineStr">
        <is>
          <t>s3_h</t>
        </is>
      </c>
      <c r="B111" s="2" t="inlineStr">
        <is>
          <t>Step 3: plan with actual expansion of existing customers (nrr / usage), new-logo volume, arr per new logo</t>
        </is>
      </c>
      <c r="C111" s="4" t="inlineStr"/>
    </row>
    <row r="112">
      <c r="A112" s="4" t="inlineStr">
        <is>
          <t>s3_g</t>
        </is>
      </c>
      <c r="B112" s="24" t="inlineStr">
        <is>
          <t>Quarterly net expansion</t>
        </is>
      </c>
      <c r="C112" s="4" t="inlineStr"/>
      <c r="S112" s="43">
        <f>S43</f>
        <v/>
      </c>
      <c r="T112" s="43">
        <f>T43</f>
        <v/>
      </c>
      <c r="U112" s="43">
        <f>U43</f>
        <v/>
      </c>
      <c r="V112" s="43">
        <f>V43</f>
        <v/>
      </c>
    </row>
    <row r="113">
      <c r="A113" s="4" t="inlineStr">
        <is>
          <t>s3_nl</t>
        </is>
      </c>
      <c r="B113" s="24" t="inlineStr">
        <is>
          <t>Gross new logos</t>
        </is>
      </c>
      <c r="C113" s="4" t="inlineStr"/>
      <c r="S113" s="25">
        <f>S44</f>
        <v/>
      </c>
      <c r="T113" s="25">
        <f>T44</f>
        <v/>
      </c>
      <c r="U113" s="25">
        <f>U44</f>
        <v/>
      </c>
      <c r="V113" s="25">
        <f>V44</f>
        <v/>
      </c>
    </row>
    <row r="114">
      <c r="A114" s="4" t="inlineStr">
        <is>
          <t>s3_arpl</t>
        </is>
      </c>
      <c r="B114" s="24" t="inlineStr">
        <is>
          <t>ARR per new logo</t>
        </is>
      </c>
      <c r="C114" s="4" t="inlineStr"/>
      <c r="S114" s="35">
        <f>S45</f>
        <v/>
      </c>
      <c r="T114" s="35">
        <f>T45</f>
        <v/>
      </c>
      <c r="U114" s="35">
        <f>U45</f>
        <v/>
      </c>
      <c r="V114" s="35">
        <f>V45</f>
        <v/>
      </c>
    </row>
    <row r="115">
      <c r="A115" s="4" t="inlineStr">
        <is>
          <t>s3_arr</t>
        </is>
      </c>
      <c r="B115" s="24" t="inlineStr">
        <is>
          <t>ARR proxy</t>
        </is>
      </c>
      <c r="C115" s="4" t="inlineStr"/>
      <c r="G115" s="26">
        <f>'Cohort_ARR_Build'!G15</f>
        <v/>
      </c>
      <c r="H115" s="26">
        <f>'Cohort_ARR_Build'!H15</f>
        <v/>
      </c>
      <c r="I115" s="26">
        <f>'Cohort_ARR_Build'!I15</f>
        <v/>
      </c>
      <c r="J115" s="26">
        <f>'Cohort_ARR_Build'!J15</f>
        <v/>
      </c>
      <c r="K115" s="26">
        <f>'Cohort_ARR_Build'!K15</f>
        <v/>
      </c>
      <c r="L115" s="26">
        <f>'Cohort_ARR_Build'!L15</f>
        <v/>
      </c>
      <c r="M115" s="26">
        <f>'Cohort_ARR_Build'!M15</f>
        <v/>
      </c>
      <c r="N115" s="26">
        <f>'Cohort_ARR_Build'!N15</f>
        <v/>
      </c>
      <c r="O115" s="26">
        <f>'Cohort_ARR_Build'!O15</f>
        <v/>
      </c>
      <c r="P115" s="26">
        <f>'Cohort_ARR_Build'!P15</f>
        <v/>
      </c>
      <c r="Q115" s="26">
        <f>'Cohort_ARR_Build'!Q15</f>
        <v/>
      </c>
      <c r="R115" s="26">
        <f>'Cohort_ARR_Build'!R15</f>
        <v/>
      </c>
      <c r="S115" s="27">
        <f>R115*(1+S112)+S113*S114</f>
        <v/>
      </c>
      <c r="T115" s="27">
        <f>S115*(1+T112)+T113*T114</f>
        <v/>
      </c>
      <c r="U115" s="27">
        <f>T115*(1+U112)+U113*U114</f>
        <v/>
      </c>
      <c r="V115" s="27">
        <f>U115*(1+V112)+V113*V114</f>
        <v/>
      </c>
    </row>
    <row r="116">
      <c r="A116" s="4" t="inlineStr">
        <is>
          <t>s3_ea</t>
        </is>
      </c>
      <c r="B116" s="24" t="inlineStr">
        <is>
          <t>EA revenue</t>
        </is>
      </c>
      <c r="C116" s="4" t="inlineStr"/>
      <c r="D116" s="26">
        <f>'Operating_Model'!D9</f>
        <v/>
      </c>
      <c r="E116" s="26">
        <f>'Operating_Model'!E9</f>
        <v/>
      </c>
      <c r="F116" s="26">
        <f>'Operating_Model'!F9</f>
        <v/>
      </c>
      <c r="G116" s="26">
        <f>'Operating_Model'!G9</f>
        <v/>
      </c>
      <c r="H116" s="26">
        <f>'Operating_Model'!H9</f>
        <v/>
      </c>
      <c r="I116" s="26">
        <f>'Operating_Model'!I9</f>
        <v/>
      </c>
      <c r="J116" s="26">
        <f>'Operating_Model'!J9</f>
        <v/>
      </c>
      <c r="K116" s="26">
        <f>'Operating_Model'!K9</f>
        <v/>
      </c>
      <c r="L116" s="26">
        <f>'Operating_Model'!L9</f>
        <v/>
      </c>
      <c r="M116" s="26">
        <f>'Operating_Model'!M9</f>
        <v/>
      </c>
      <c r="N116" s="26">
        <f>'Operating_Model'!N9</f>
        <v/>
      </c>
      <c r="O116" s="26">
        <f>'Operating_Model'!O9</f>
        <v/>
      </c>
      <c r="P116" s="26">
        <f>'Operating_Model'!P9</f>
        <v/>
      </c>
      <c r="Q116" s="26">
        <f>'Operating_Model'!Q9</f>
        <v/>
      </c>
      <c r="R116" s="26">
        <f>'Operating_Model'!R9</f>
        <v/>
      </c>
      <c r="S116" s="27">
        <f>O116*(1+Inputs_Scenarios!$F$15)</f>
        <v/>
      </c>
      <c r="T116" s="27">
        <f>P116*(1+Inputs_Scenarios!$F$15)</f>
        <v/>
      </c>
      <c r="U116" s="27">
        <f>Q116*(1+Inputs_Scenarios!$F$15)</f>
        <v/>
      </c>
      <c r="V116" s="27">
        <f>R116*(1+Inputs_Scenarios!$F$15)</f>
        <v/>
      </c>
    </row>
    <row r="117">
      <c r="A117" s="4" t="inlineStr">
        <is>
          <t>s3_ea_ttm</t>
        </is>
      </c>
      <c r="B117" s="24" t="inlineStr">
        <is>
          <t>EA trailing 4Q</t>
        </is>
      </c>
      <c r="C117" s="4" t="inlineStr"/>
      <c r="S117" s="27">
        <f>SUM(P116:S116)</f>
        <v/>
      </c>
      <c r="T117" s="27">
        <f>SUM(Q116:T116)</f>
        <v/>
      </c>
      <c r="U117" s="27">
        <f>SUM(R116:U116)</f>
        <v/>
      </c>
      <c r="V117" s="27">
        <f>SUM(S116:V116)</f>
        <v/>
      </c>
    </row>
    <row r="118">
      <c r="A118" s="4" t="inlineStr">
        <is>
          <t>s3_atlas</t>
        </is>
      </c>
      <c r="B118" s="24" t="inlineStr">
        <is>
          <t>Atlas revenue</t>
        </is>
      </c>
      <c r="C118" s="4" t="inlineStr"/>
      <c r="S118" s="27">
        <f>(S115-S117)*S5/Inputs_Scenarios!$C$5</f>
        <v/>
      </c>
      <c r="T118" s="27">
        <f>(T115-T117)*T5/Inputs_Scenarios!$C$5</f>
        <v/>
      </c>
      <c r="U118" s="27">
        <f>(U115-U117)*U5/Inputs_Scenarios!$C$5</f>
        <v/>
      </c>
      <c r="V118" s="27">
        <f>(V115-V117)*V5/Inputs_Scenarios!$C$5</f>
        <v/>
      </c>
    </row>
    <row r="119">
      <c r="A119" s="4" t="inlineStr">
        <is>
          <t>s3_svc</t>
        </is>
      </c>
      <c r="B119" s="24" t="inlineStr">
        <is>
          <t>Services revenue</t>
        </is>
      </c>
      <c r="C119" s="4" t="inlineStr"/>
      <c r="D119" s="26">
        <f>'Operating_Model'!D11</f>
        <v/>
      </c>
      <c r="E119" s="26">
        <f>'Operating_Model'!E11</f>
        <v/>
      </c>
      <c r="F119" s="26">
        <f>'Operating_Model'!F11</f>
        <v/>
      </c>
      <c r="G119" s="26">
        <f>'Operating_Model'!G11</f>
        <v/>
      </c>
      <c r="H119" s="26">
        <f>'Operating_Model'!H11</f>
        <v/>
      </c>
      <c r="I119" s="26">
        <f>'Operating_Model'!I11</f>
        <v/>
      </c>
      <c r="J119" s="26">
        <f>'Operating_Model'!J11</f>
        <v/>
      </c>
      <c r="K119" s="26">
        <f>'Operating_Model'!K11</f>
        <v/>
      </c>
      <c r="L119" s="26">
        <f>'Operating_Model'!L11</f>
        <v/>
      </c>
      <c r="M119" s="26">
        <f>'Operating_Model'!M11</f>
        <v/>
      </c>
      <c r="N119" s="26">
        <f>'Operating_Model'!N11</f>
        <v/>
      </c>
      <c r="O119" s="26">
        <f>'Operating_Model'!O11</f>
        <v/>
      </c>
      <c r="P119" s="26">
        <f>'Operating_Model'!P11</f>
        <v/>
      </c>
      <c r="Q119" s="26">
        <f>'Operating_Model'!Q11</f>
        <v/>
      </c>
      <c r="R119" s="26">
        <f>'Operating_Model'!R11</f>
        <v/>
      </c>
      <c r="S119" s="27">
        <f>O119*(1+Inputs_Scenarios!$F$16)</f>
        <v/>
      </c>
      <c r="T119" s="27">
        <f>P119*(1+Inputs_Scenarios!$F$16)</f>
        <v/>
      </c>
      <c r="U119" s="27">
        <f>Q119*(1+Inputs_Scenarios!$F$16)</f>
        <v/>
      </c>
      <c r="V119" s="27">
        <f>R119*(1+Inputs_Scenarios!$F$16)</f>
        <v/>
      </c>
    </row>
    <row r="120">
      <c r="A120" s="4" t="inlineStr">
        <is>
          <t>s3_sub</t>
        </is>
      </c>
      <c r="B120" s="24" t="inlineStr">
        <is>
          <t>Subscription revenue</t>
        </is>
      </c>
      <c r="C120" s="4" t="inlineStr"/>
      <c r="S120" s="27">
        <f>S118+S116</f>
        <v/>
      </c>
      <c r="T120" s="27">
        <f>T118+T116</f>
        <v/>
      </c>
      <c r="U120" s="27">
        <f>U118+U116</f>
        <v/>
      </c>
      <c r="V120" s="27">
        <f>V118+V116</f>
        <v/>
      </c>
    </row>
    <row r="121">
      <c r="A121" s="4" t="inlineStr">
        <is>
          <t>s3_revenue</t>
        </is>
      </c>
      <c r="B121" s="2" t="inlineStr">
        <is>
          <t>Total revenue</t>
        </is>
      </c>
      <c r="C121" s="4" t="inlineStr"/>
      <c r="S121" s="29">
        <f>S120+S119</f>
        <v/>
      </c>
      <c r="T121" s="29">
        <f>T120+T119</f>
        <v/>
      </c>
      <c r="U121" s="29">
        <f>U120+U119</f>
        <v/>
      </c>
      <c r="V121" s="29">
        <f>V120+V119</f>
        <v/>
      </c>
    </row>
    <row r="122">
      <c r="A122" s="4" t="inlineStr">
        <is>
          <t>s3_ng_gp</t>
        </is>
      </c>
      <c r="B122" s="24" t="inlineStr">
        <is>
          <t>Non-GAAP gross profit</t>
        </is>
      </c>
      <c r="C122" s="4" t="inlineStr"/>
      <c r="S122" s="27">
        <f>S121-S120*(1-Inputs_Scenarios!$F$17)-S119*(1-Inputs_Scenarios!$F$18)+S121*(Inputs_Scenarios!$F$27+Inputs_Scenarios!$F$28)</f>
        <v/>
      </c>
      <c r="T122" s="27">
        <f>T121-T120*(1-Inputs_Scenarios!$F$17)-T119*(1-Inputs_Scenarios!$F$18)+T121*(Inputs_Scenarios!$F$27+Inputs_Scenarios!$F$28)</f>
        <v/>
      </c>
      <c r="U122" s="27">
        <f>U121-U120*(1-Inputs_Scenarios!$F$17)-U119*(1-Inputs_Scenarios!$F$18)+U121*(Inputs_Scenarios!$F$27+Inputs_Scenarios!$F$28)</f>
        <v/>
      </c>
      <c r="V122" s="27">
        <f>V121-V120*(1-Inputs_Scenarios!$F$17)-V119*(1-Inputs_Scenarios!$F$18)+V121*(Inputs_Scenarios!$F$27+Inputs_Scenarios!$F$28)</f>
        <v/>
      </c>
    </row>
    <row r="123">
      <c r="A123" s="4" t="inlineStr">
        <is>
          <t>s3_hc</t>
        </is>
      </c>
      <c r="B123" s="24" t="inlineStr">
        <is>
          <t>Employees</t>
        </is>
      </c>
      <c r="C123" s="4" t="inlineStr"/>
      <c r="G123" s="38">
        <f>'Headcount_Opex_Build'!G8</f>
        <v/>
      </c>
      <c r="H123" s="38">
        <f>'Headcount_Opex_Build'!H8</f>
        <v/>
      </c>
      <c r="I123" s="38">
        <f>'Headcount_Opex_Build'!I8</f>
        <v/>
      </c>
      <c r="J123" s="38">
        <f>'Headcount_Opex_Build'!J8</f>
        <v/>
      </c>
      <c r="K123" s="38">
        <f>'Headcount_Opex_Build'!K8</f>
        <v/>
      </c>
      <c r="L123" s="38">
        <f>'Headcount_Opex_Build'!L8</f>
        <v/>
      </c>
      <c r="M123" s="38">
        <f>'Headcount_Opex_Build'!M8</f>
        <v/>
      </c>
      <c r="N123" s="38">
        <f>'Headcount_Opex_Build'!N8</f>
        <v/>
      </c>
      <c r="O123" s="38">
        <f>'Headcount_Opex_Build'!O8</f>
        <v/>
      </c>
      <c r="P123" s="38">
        <f>'Headcount_Opex_Build'!P8</f>
        <v/>
      </c>
      <c r="Q123" s="38">
        <f>'Headcount_Opex_Build'!Q8</f>
        <v/>
      </c>
      <c r="R123" s="38">
        <f>'Headcount_Opex_Build'!R8</f>
        <v/>
      </c>
      <c r="S123" s="25">
        <f>R123+Inputs_Scenarios!$F$19</f>
        <v/>
      </c>
      <c r="T123" s="25">
        <f>S123+Inputs_Scenarios!$F$19</f>
        <v/>
      </c>
      <c r="U123" s="25">
        <f>T123+Inputs_Scenarios!$F$19</f>
        <v/>
      </c>
      <c r="V123" s="25">
        <f>U123+Inputs_Scenarios!$F$19</f>
        <v/>
      </c>
    </row>
    <row r="124">
      <c r="A124" s="4" t="inlineStr">
        <is>
          <t>s3_cph_rnd</t>
        </is>
      </c>
      <c r="B124" s="24" t="inlineStr">
        <is>
          <t>RND spend per employee</t>
        </is>
      </c>
      <c r="C124" s="4" t="inlineStr"/>
      <c r="G124" s="34">
        <f>'Headcount_Opex_Build'!G11</f>
        <v/>
      </c>
      <c r="H124" s="34">
        <f>'Headcount_Opex_Build'!H11</f>
        <v/>
      </c>
      <c r="I124" s="34">
        <f>'Headcount_Opex_Build'!I11</f>
        <v/>
      </c>
      <c r="J124" s="34">
        <f>'Headcount_Opex_Build'!J11</f>
        <v/>
      </c>
      <c r="K124" s="34">
        <f>'Headcount_Opex_Build'!K11</f>
        <v/>
      </c>
      <c r="L124" s="34">
        <f>'Headcount_Opex_Build'!L11</f>
        <v/>
      </c>
      <c r="M124" s="34">
        <f>'Headcount_Opex_Build'!M11</f>
        <v/>
      </c>
      <c r="N124" s="34">
        <f>'Headcount_Opex_Build'!N11</f>
        <v/>
      </c>
      <c r="O124" s="34">
        <f>'Headcount_Opex_Build'!O11</f>
        <v/>
      </c>
      <c r="P124" s="34">
        <f>'Headcount_Opex_Build'!P11</f>
        <v/>
      </c>
      <c r="Q124" s="34">
        <f>'Headcount_Opex_Build'!Q11</f>
        <v/>
      </c>
      <c r="R124" s="34">
        <f>'Headcount_Opex_Build'!R11</f>
        <v/>
      </c>
      <c r="S124" s="35">
        <f>R124*(1+Inputs_Scenarios!$F$21)</f>
        <v/>
      </c>
      <c r="T124" s="35">
        <f>S124*(1+Inputs_Scenarios!$F$21)</f>
        <v/>
      </c>
      <c r="U124" s="35">
        <f>T124*(1+Inputs_Scenarios!$F$21)</f>
        <v/>
      </c>
      <c r="V124" s="35">
        <f>U124*(1+Inputs_Scenarios!$F$21)</f>
        <v/>
      </c>
    </row>
    <row r="125">
      <c r="A125" s="4" t="inlineStr">
        <is>
          <t>s3_cph_snm</t>
        </is>
      </c>
      <c r="B125" s="24" t="inlineStr">
        <is>
          <t>SNM spend per employee</t>
        </is>
      </c>
      <c r="C125" s="4" t="inlineStr"/>
      <c r="G125" s="34">
        <f>'Headcount_Opex_Build'!G13</f>
        <v/>
      </c>
      <c r="H125" s="34">
        <f>'Headcount_Opex_Build'!H13</f>
        <v/>
      </c>
      <c r="I125" s="34">
        <f>'Headcount_Opex_Build'!I13</f>
        <v/>
      </c>
      <c r="J125" s="34">
        <f>'Headcount_Opex_Build'!J13</f>
        <v/>
      </c>
      <c r="K125" s="34">
        <f>'Headcount_Opex_Build'!K13</f>
        <v/>
      </c>
      <c r="L125" s="34">
        <f>'Headcount_Opex_Build'!L13</f>
        <v/>
      </c>
      <c r="M125" s="34">
        <f>'Headcount_Opex_Build'!M13</f>
        <v/>
      </c>
      <c r="N125" s="34">
        <f>'Headcount_Opex_Build'!N13</f>
        <v/>
      </c>
      <c r="O125" s="34">
        <f>'Headcount_Opex_Build'!O13</f>
        <v/>
      </c>
      <c r="P125" s="34">
        <f>'Headcount_Opex_Build'!P13</f>
        <v/>
      </c>
      <c r="Q125" s="34">
        <f>'Headcount_Opex_Build'!Q13</f>
        <v/>
      </c>
      <c r="R125" s="34">
        <f>'Headcount_Opex_Build'!R13</f>
        <v/>
      </c>
      <c r="S125" s="35">
        <f>R125*(1+Inputs_Scenarios!$F$23)</f>
        <v/>
      </c>
      <c r="T125" s="35">
        <f>S125*(1+Inputs_Scenarios!$F$23)</f>
        <v/>
      </c>
      <c r="U125" s="35">
        <f>T125*(1+Inputs_Scenarios!$F$23)</f>
        <v/>
      </c>
      <c r="V125" s="35">
        <f>U125*(1+Inputs_Scenarios!$F$23)</f>
        <v/>
      </c>
    </row>
    <row r="126">
      <c r="A126" s="4" t="inlineStr">
        <is>
          <t>s3_cph_gna</t>
        </is>
      </c>
      <c r="B126" s="24" t="inlineStr">
        <is>
          <t>GNA spend per employee</t>
        </is>
      </c>
      <c r="C126" s="4" t="inlineStr"/>
      <c r="G126" s="34">
        <f>'Headcount_Opex_Build'!G15</f>
        <v/>
      </c>
      <c r="H126" s="34">
        <f>'Headcount_Opex_Build'!H15</f>
        <v/>
      </c>
      <c r="I126" s="34">
        <f>'Headcount_Opex_Build'!I15</f>
        <v/>
      </c>
      <c r="J126" s="34">
        <f>'Headcount_Opex_Build'!J15</f>
        <v/>
      </c>
      <c r="K126" s="34">
        <f>'Headcount_Opex_Build'!K15</f>
        <v/>
      </c>
      <c r="L126" s="34">
        <f>'Headcount_Opex_Build'!L15</f>
        <v/>
      </c>
      <c r="M126" s="34">
        <f>'Headcount_Opex_Build'!M15</f>
        <v/>
      </c>
      <c r="N126" s="34">
        <f>'Headcount_Opex_Build'!N15</f>
        <v/>
      </c>
      <c r="O126" s="34">
        <f>'Headcount_Opex_Build'!O15</f>
        <v/>
      </c>
      <c r="P126" s="34">
        <f>'Headcount_Opex_Build'!P15</f>
        <v/>
      </c>
      <c r="Q126" s="34">
        <f>'Headcount_Opex_Build'!Q15</f>
        <v/>
      </c>
      <c r="R126" s="34">
        <f>'Headcount_Opex_Build'!R15</f>
        <v/>
      </c>
      <c r="S126" s="35">
        <f>R126*(1+Inputs_Scenarios!$F$25)</f>
        <v/>
      </c>
      <c r="T126" s="35">
        <f>S126*(1+Inputs_Scenarios!$F$25)</f>
        <v/>
      </c>
      <c r="U126" s="35">
        <f>T126*(1+Inputs_Scenarios!$F$25)</f>
        <v/>
      </c>
      <c r="V126" s="35">
        <f>U126*(1+Inputs_Scenarios!$F$25)</f>
        <v/>
      </c>
    </row>
    <row r="127">
      <c r="A127" s="4" t="inlineStr">
        <is>
          <t>s3_ng_opex</t>
        </is>
      </c>
      <c r="B127" s="24" t="inlineStr">
        <is>
          <t>Non-GAAP operating expenses</t>
        </is>
      </c>
      <c r="C127" s="4" t="inlineStr"/>
      <c r="S127" s="27">
        <f>S123*(S124+S125+S126)</f>
        <v/>
      </c>
      <c r="T127" s="27">
        <f>T123*(T124+T125+T126)</f>
        <v/>
      </c>
      <c r="U127" s="27">
        <f>U123*(U124+U125+U126)</f>
        <v/>
      </c>
      <c r="V127" s="27">
        <f>V123*(V124+V125+V126)</f>
        <v/>
      </c>
    </row>
    <row r="128">
      <c r="A128" s="4" t="inlineStr">
        <is>
          <t>s3_amort</t>
        </is>
      </c>
      <c r="B128" s="24" t="inlineStr">
        <is>
          <t>Amortization</t>
        </is>
      </c>
      <c r="C128" s="4" t="inlineStr"/>
      <c r="S128" s="27">
        <f>Inputs_Scenarios!$F$20</f>
        <v/>
      </c>
      <c r="T128" s="27">
        <f>Inputs_Scenarios!$F$20</f>
        <v/>
      </c>
      <c r="U128" s="27">
        <f>Inputs_Scenarios!$F$20</f>
        <v/>
      </c>
      <c r="V128" s="27">
        <f>Inputs_Scenarios!$F$20</f>
        <v/>
      </c>
    </row>
    <row r="129">
      <c r="A129" s="4" t="inlineStr">
        <is>
          <t>s3_ng_op</t>
        </is>
      </c>
      <c r="B129" s="2" t="inlineStr">
        <is>
          <t>Non-GAAP operating income</t>
        </is>
      </c>
      <c r="C129" s="4" t="inlineStr"/>
      <c r="S129" s="29">
        <f>S122-S127+S128</f>
        <v/>
      </c>
      <c r="T129" s="29">
        <f>T122-T127+T128</f>
        <v/>
      </c>
      <c r="U129" s="29">
        <f>U122-U127+U128</f>
        <v/>
      </c>
      <c r="V129" s="29">
        <f>V122-V127+V128</f>
        <v/>
      </c>
    </row>
    <row r="130">
      <c r="A130" s="4" t="inlineStr">
        <is>
          <t>s3_fcf</t>
        </is>
      </c>
      <c r="B130" s="2" t="inlineStr">
        <is>
          <t>Free cash flow</t>
        </is>
      </c>
      <c r="C130" s="4" t="inlineStr"/>
      <c r="S130" s="29">
        <f>S129*INDEX(Inputs_Scenarios!$F$29:$F$32,S6)</f>
        <v/>
      </c>
      <c r="T130" s="29">
        <f>T129*INDEX(Inputs_Scenarios!$F$29:$F$32,T6)</f>
        <v/>
      </c>
      <c r="U130" s="29">
        <f>U129*INDEX(Inputs_Scenarios!$F$29:$F$32,U6)</f>
        <v/>
      </c>
      <c r="V130" s="29">
        <f>V129*INDEX(Inputs_Scenarios!$F$29:$F$32,V6)</f>
        <v/>
      </c>
    </row>
    <row r="131">
      <c r="A131" s="4" t="inlineStr">
        <is>
          <t>s4_h</t>
        </is>
      </c>
      <c r="B131" s="2" t="inlineStr">
        <is>
          <t>Step 4: plan with actual expansion of existing customers (nrr / usage), new-logo volume, arr per new logo, enterprise advanced mix / timing</t>
        </is>
      </c>
      <c r="C131" s="4" t="inlineStr"/>
    </row>
    <row r="132">
      <c r="A132" s="4" t="inlineStr">
        <is>
          <t>s4_g</t>
        </is>
      </c>
      <c r="B132" s="24" t="inlineStr">
        <is>
          <t>Quarterly net expansion</t>
        </is>
      </c>
      <c r="C132" s="4" t="inlineStr"/>
      <c r="S132" s="43">
        <f>S43</f>
        <v/>
      </c>
      <c r="T132" s="43">
        <f>T43</f>
        <v/>
      </c>
      <c r="U132" s="43">
        <f>U43</f>
        <v/>
      </c>
      <c r="V132" s="43">
        <f>V43</f>
        <v/>
      </c>
    </row>
    <row r="133">
      <c r="A133" s="4" t="inlineStr">
        <is>
          <t>s4_nl</t>
        </is>
      </c>
      <c r="B133" s="24" t="inlineStr">
        <is>
          <t>Gross new logos</t>
        </is>
      </c>
      <c r="C133" s="4" t="inlineStr"/>
      <c r="S133" s="25">
        <f>S44</f>
        <v/>
      </c>
      <c r="T133" s="25">
        <f>T44</f>
        <v/>
      </c>
      <c r="U133" s="25">
        <f>U44</f>
        <v/>
      </c>
      <c r="V133" s="25">
        <f>V44</f>
        <v/>
      </c>
    </row>
    <row r="134">
      <c r="A134" s="4" t="inlineStr">
        <is>
          <t>s4_arpl</t>
        </is>
      </c>
      <c r="B134" s="24" t="inlineStr">
        <is>
          <t>ARR per new logo</t>
        </is>
      </c>
      <c r="C134" s="4" t="inlineStr"/>
      <c r="S134" s="35">
        <f>S45</f>
        <v/>
      </c>
      <c r="T134" s="35">
        <f>T45</f>
        <v/>
      </c>
      <c r="U134" s="35">
        <f>U45</f>
        <v/>
      </c>
      <c r="V134" s="35">
        <f>V45</f>
        <v/>
      </c>
    </row>
    <row r="135">
      <c r="A135" s="4" t="inlineStr">
        <is>
          <t>s4_arr</t>
        </is>
      </c>
      <c r="B135" s="24" t="inlineStr">
        <is>
          <t>ARR proxy</t>
        </is>
      </c>
      <c r="C135" s="4" t="inlineStr"/>
      <c r="G135" s="26">
        <f>'Cohort_ARR_Build'!G15</f>
        <v/>
      </c>
      <c r="H135" s="26">
        <f>'Cohort_ARR_Build'!H15</f>
        <v/>
      </c>
      <c r="I135" s="26">
        <f>'Cohort_ARR_Build'!I15</f>
        <v/>
      </c>
      <c r="J135" s="26">
        <f>'Cohort_ARR_Build'!J15</f>
        <v/>
      </c>
      <c r="K135" s="26">
        <f>'Cohort_ARR_Build'!K15</f>
        <v/>
      </c>
      <c r="L135" s="26">
        <f>'Cohort_ARR_Build'!L15</f>
        <v/>
      </c>
      <c r="M135" s="26">
        <f>'Cohort_ARR_Build'!M15</f>
        <v/>
      </c>
      <c r="N135" s="26">
        <f>'Cohort_ARR_Build'!N15</f>
        <v/>
      </c>
      <c r="O135" s="26">
        <f>'Cohort_ARR_Build'!O15</f>
        <v/>
      </c>
      <c r="P135" s="26">
        <f>'Cohort_ARR_Build'!P15</f>
        <v/>
      </c>
      <c r="Q135" s="26">
        <f>'Cohort_ARR_Build'!Q15</f>
        <v/>
      </c>
      <c r="R135" s="26">
        <f>'Cohort_ARR_Build'!R15</f>
        <v/>
      </c>
      <c r="S135" s="27">
        <f>R135*(1+S132)+S133*S134</f>
        <v/>
      </c>
      <c r="T135" s="27">
        <f>S135*(1+T132)+T133*T134</f>
        <v/>
      </c>
      <c r="U135" s="27">
        <f>T135*(1+U132)+U133*U134</f>
        <v/>
      </c>
      <c r="V135" s="27">
        <f>U135*(1+V132)+V133*V134</f>
        <v/>
      </c>
    </row>
    <row r="136">
      <c r="A136" s="4" t="inlineStr">
        <is>
          <t>s4_ea</t>
        </is>
      </c>
      <c r="B136" s="24" t="inlineStr">
        <is>
          <t>EA revenue</t>
        </is>
      </c>
      <c r="C136" s="4" t="inlineStr"/>
      <c r="D136" s="26">
        <f>'Operating_Model'!D9</f>
        <v/>
      </c>
      <c r="E136" s="26">
        <f>'Operating_Model'!E9</f>
        <v/>
      </c>
      <c r="F136" s="26">
        <f>'Operating_Model'!F9</f>
        <v/>
      </c>
      <c r="G136" s="26">
        <f>'Operating_Model'!G9</f>
        <v/>
      </c>
      <c r="H136" s="26">
        <f>'Operating_Model'!H9</f>
        <v/>
      </c>
      <c r="I136" s="26">
        <f>'Operating_Model'!I9</f>
        <v/>
      </c>
      <c r="J136" s="26">
        <f>'Operating_Model'!J9</f>
        <v/>
      </c>
      <c r="K136" s="26">
        <f>'Operating_Model'!K9</f>
        <v/>
      </c>
      <c r="L136" s="26">
        <f>'Operating_Model'!L9</f>
        <v/>
      </c>
      <c r="M136" s="26">
        <f>'Operating_Model'!M9</f>
        <v/>
      </c>
      <c r="N136" s="26">
        <f>'Operating_Model'!N9</f>
        <v/>
      </c>
      <c r="O136" s="26">
        <f>'Operating_Model'!O9</f>
        <v/>
      </c>
      <c r="P136" s="26">
        <f>'Operating_Model'!P9</f>
        <v/>
      </c>
      <c r="Q136" s="26">
        <f>'Operating_Model'!Q9</f>
        <v/>
      </c>
      <c r="R136" s="26">
        <f>'Operating_Model'!R9</f>
        <v/>
      </c>
      <c r="S136" s="27">
        <f>O136*(1+S46)</f>
        <v/>
      </c>
      <c r="T136" s="27">
        <f>P136*(1+T46)</f>
        <v/>
      </c>
      <c r="U136" s="27">
        <f>Q136*(1+U46)</f>
        <v/>
      </c>
      <c r="V136" s="27">
        <f>R136*(1+V46)</f>
        <v/>
      </c>
    </row>
    <row r="137">
      <c r="A137" s="4" t="inlineStr">
        <is>
          <t>s4_ea_ttm</t>
        </is>
      </c>
      <c r="B137" s="24" t="inlineStr">
        <is>
          <t>EA trailing 4Q</t>
        </is>
      </c>
      <c r="C137" s="4" t="inlineStr"/>
      <c r="S137" s="27">
        <f>SUM(P136:S136)</f>
        <v/>
      </c>
      <c r="T137" s="27">
        <f>SUM(Q136:T136)</f>
        <v/>
      </c>
      <c r="U137" s="27">
        <f>SUM(R136:U136)</f>
        <v/>
      </c>
      <c r="V137" s="27">
        <f>SUM(S136:V136)</f>
        <v/>
      </c>
    </row>
    <row r="138">
      <c r="A138" s="4" t="inlineStr">
        <is>
          <t>s4_atlas</t>
        </is>
      </c>
      <c r="B138" s="24" t="inlineStr">
        <is>
          <t>Atlas revenue</t>
        </is>
      </c>
      <c r="C138" s="4" t="inlineStr"/>
      <c r="S138" s="27">
        <f>(S135-S137)*S5/Inputs_Scenarios!$C$5</f>
        <v/>
      </c>
      <c r="T138" s="27">
        <f>(T135-T137)*T5/Inputs_Scenarios!$C$5</f>
        <v/>
      </c>
      <c r="U138" s="27">
        <f>(U135-U137)*U5/Inputs_Scenarios!$C$5</f>
        <v/>
      </c>
      <c r="V138" s="27">
        <f>(V135-V137)*V5/Inputs_Scenarios!$C$5</f>
        <v/>
      </c>
    </row>
    <row r="139">
      <c r="A139" s="4" t="inlineStr">
        <is>
          <t>s4_svc</t>
        </is>
      </c>
      <c r="B139" s="24" t="inlineStr">
        <is>
          <t>Services revenue</t>
        </is>
      </c>
      <c r="C139" s="4" t="inlineStr"/>
      <c r="D139" s="26">
        <f>'Operating_Model'!D11</f>
        <v/>
      </c>
      <c r="E139" s="26">
        <f>'Operating_Model'!E11</f>
        <v/>
      </c>
      <c r="F139" s="26">
        <f>'Operating_Model'!F11</f>
        <v/>
      </c>
      <c r="G139" s="26">
        <f>'Operating_Model'!G11</f>
        <v/>
      </c>
      <c r="H139" s="26">
        <f>'Operating_Model'!H11</f>
        <v/>
      </c>
      <c r="I139" s="26">
        <f>'Operating_Model'!I11</f>
        <v/>
      </c>
      <c r="J139" s="26">
        <f>'Operating_Model'!J11</f>
        <v/>
      </c>
      <c r="K139" s="26">
        <f>'Operating_Model'!K11</f>
        <v/>
      </c>
      <c r="L139" s="26">
        <f>'Operating_Model'!L11</f>
        <v/>
      </c>
      <c r="M139" s="26">
        <f>'Operating_Model'!M11</f>
        <v/>
      </c>
      <c r="N139" s="26">
        <f>'Operating_Model'!N11</f>
        <v/>
      </c>
      <c r="O139" s="26">
        <f>'Operating_Model'!O11</f>
        <v/>
      </c>
      <c r="P139" s="26">
        <f>'Operating_Model'!P11</f>
        <v/>
      </c>
      <c r="Q139" s="26">
        <f>'Operating_Model'!Q11</f>
        <v/>
      </c>
      <c r="R139" s="26">
        <f>'Operating_Model'!R11</f>
        <v/>
      </c>
      <c r="S139" s="27">
        <f>O139*(1+Inputs_Scenarios!$F$16)</f>
        <v/>
      </c>
      <c r="T139" s="27">
        <f>P139*(1+Inputs_Scenarios!$F$16)</f>
        <v/>
      </c>
      <c r="U139" s="27">
        <f>Q139*(1+Inputs_Scenarios!$F$16)</f>
        <v/>
      </c>
      <c r="V139" s="27">
        <f>R139*(1+Inputs_Scenarios!$F$16)</f>
        <v/>
      </c>
    </row>
    <row r="140">
      <c r="A140" s="4" t="inlineStr">
        <is>
          <t>s4_sub</t>
        </is>
      </c>
      <c r="B140" s="24" t="inlineStr">
        <is>
          <t>Subscription revenue</t>
        </is>
      </c>
      <c r="C140" s="4" t="inlineStr"/>
      <c r="S140" s="27">
        <f>S138+S136</f>
        <v/>
      </c>
      <c r="T140" s="27">
        <f>T138+T136</f>
        <v/>
      </c>
      <c r="U140" s="27">
        <f>U138+U136</f>
        <v/>
      </c>
      <c r="V140" s="27">
        <f>V138+V136</f>
        <v/>
      </c>
    </row>
    <row r="141">
      <c r="A141" s="4" t="inlineStr">
        <is>
          <t>s4_revenue</t>
        </is>
      </c>
      <c r="B141" s="2" t="inlineStr">
        <is>
          <t>Total revenue</t>
        </is>
      </c>
      <c r="C141" s="4" t="inlineStr"/>
      <c r="S141" s="29">
        <f>S140+S139</f>
        <v/>
      </c>
      <c r="T141" s="29">
        <f>T140+T139</f>
        <v/>
      </c>
      <c r="U141" s="29">
        <f>U140+U139</f>
        <v/>
      </c>
      <c r="V141" s="29">
        <f>V140+V139</f>
        <v/>
      </c>
    </row>
    <row r="142">
      <c r="A142" s="4" t="inlineStr">
        <is>
          <t>s4_ng_gp</t>
        </is>
      </c>
      <c r="B142" s="24" t="inlineStr">
        <is>
          <t>Non-GAAP gross profit</t>
        </is>
      </c>
      <c r="C142" s="4" t="inlineStr"/>
      <c r="S142" s="27">
        <f>S141-S140*(1-Inputs_Scenarios!$F$17)-S139*(1-Inputs_Scenarios!$F$18)+S141*(Inputs_Scenarios!$F$27+Inputs_Scenarios!$F$28)</f>
        <v/>
      </c>
      <c r="T142" s="27">
        <f>T141-T140*(1-Inputs_Scenarios!$F$17)-T139*(1-Inputs_Scenarios!$F$18)+T141*(Inputs_Scenarios!$F$27+Inputs_Scenarios!$F$28)</f>
        <v/>
      </c>
      <c r="U142" s="27">
        <f>U141-U140*(1-Inputs_Scenarios!$F$17)-U139*(1-Inputs_Scenarios!$F$18)+U141*(Inputs_Scenarios!$F$27+Inputs_Scenarios!$F$28)</f>
        <v/>
      </c>
      <c r="V142" s="27">
        <f>V141-V140*(1-Inputs_Scenarios!$F$17)-V139*(1-Inputs_Scenarios!$F$18)+V141*(Inputs_Scenarios!$F$27+Inputs_Scenarios!$F$28)</f>
        <v/>
      </c>
    </row>
    <row r="143">
      <c r="A143" s="4" t="inlineStr">
        <is>
          <t>s4_hc</t>
        </is>
      </c>
      <c r="B143" s="24" t="inlineStr">
        <is>
          <t>Employees</t>
        </is>
      </c>
      <c r="C143" s="4" t="inlineStr"/>
      <c r="G143" s="38">
        <f>'Headcount_Opex_Build'!G8</f>
        <v/>
      </c>
      <c r="H143" s="38">
        <f>'Headcount_Opex_Build'!H8</f>
        <v/>
      </c>
      <c r="I143" s="38">
        <f>'Headcount_Opex_Build'!I8</f>
        <v/>
      </c>
      <c r="J143" s="38">
        <f>'Headcount_Opex_Build'!J8</f>
        <v/>
      </c>
      <c r="K143" s="38">
        <f>'Headcount_Opex_Build'!K8</f>
        <v/>
      </c>
      <c r="L143" s="38">
        <f>'Headcount_Opex_Build'!L8</f>
        <v/>
      </c>
      <c r="M143" s="38">
        <f>'Headcount_Opex_Build'!M8</f>
        <v/>
      </c>
      <c r="N143" s="38">
        <f>'Headcount_Opex_Build'!N8</f>
        <v/>
      </c>
      <c r="O143" s="38">
        <f>'Headcount_Opex_Build'!O8</f>
        <v/>
      </c>
      <c r="P143" s="38">
        <f>'Headcount_Opex_Build'!P8</f>
        <v/>
      </c>
      <c r="Q143" s="38">
        <f>'Headcount_Opex_Build'!Q8</f>
        <v/>
      </c>
      <c r="R143" s="38">
        <f>'Headcount_Opex_Build'!R8</f>
        <v/>
      </c>
      <c r="S143" s="25">
        <f>R143+Inputs_Scenarios!$F$19</f>
        <v/>
      </c>
      <c r="T143" s="25">
        <f>S143+Inputs_Scenarios!$F$19</f>
        <v/>
      </c>
      <c r="U143" s="25">
        <f>T143+Inputs_Scenarios!$F$19</f>
        <v/>
      </c>
      <c r="V143" s="25">
        <f>U143+Inputs_Scenarios!$F$19</f>
        <v/>
      </c>
    </row>
    <row r="144">
      <c r="A144" s="4" t="inlineStr">
        <is>
          <t>s4_cph_rnd</t>
        </is>
      </c>
      <c r="B144" s="24" t="inlineStr">
        <is>
          <t>RND spend per employee</t>
        </is>
      </c>
      <c r="C144" s="4" t="inlineStr"/>
      <c r="G144" s="34">
        <f>'Headcount_Opex_Build'!G11</f>
        <v/>
      </c>
      <c r="H144" s="34">
        <f>'Headcount_Opex_Build'!H11</f>
        <v/>
      </c>
      <c r="I144" s="34">
        <f>'Headcount_Opex_Build'!I11</f>
        <v/>
      </c>
      <c r="J144" s="34">
        <f>'Headcount_Opex_Build'!J11</f>
        <v/>
      </c>
      <c r="K144" s="34">
        <f>'Headcount_Opex_Build'!K11</f>
        <v/>
      </c>
      <c r="L144" s="34">
        <f>'Headcount_Opex_Build'!L11</f>
        <v/>
      </c>
      <c r="M144" s="34">
        <f>'Headcount_Opex_Build'!M11</f>
        <v/>
      </c>
      <c r="N144" s="34">
        <f>'Headcount_Opex_Build'!N11</f>
        <v/>
      </c>
      <c r="O144" s="34">
        <f>'Headcount_Opex_Build'!O11</f>
        <v/>
      </c>
      <c r="P144" s="34">
        <f>'Headcount_Opex_Build'!P11</f>
        <v/>
      </c>
      <c r="Q144" s="34">
        <f>'Headcount_Opex_Build'!Q11</f>
        <v/>
      </c>
      <c r="R144" s="34">
        <f>'Headcount_Opex_Build'!R11</f>
        <v/>
      </c>
      <c r="S144" s="35">
        <f>R144*(1+Inputs_Scenarios!$F$21)</f>
        <v/>
      </c>
      <c r="T144" s="35">
        <f>S144*(1+Inputs_Scenarios!$F$21)</f>
        <v/>
      </c>
      <c r="U144" s="35">
        <f>T144*(1+Inputs_Scenarios!$F$21)</f>
        <v/>
      </c>
      <c r="V144" s="35">
        <f>U144*(1+Inputs_Scenarios!$F$21)</f>
        <v/>
      </c>
    </row>
    <row r="145">
      <c r="A145" s="4" t="inlineStr">
        <is>
          <t>s4_cph_snm</t>
        </is>
      </c>
      <c r="B145" s="24" t="inlineStr">
        <is>
          <t>SNM spend per employee</t>
        </is>
      </c>
      <c r="C145" s="4" t="inlineStr"/>
      <c r="G145" s="34">
        <f>'Headcount_Opex_Build'!G13</f>
        <v/>
      </c>
      <c r="H145" s="34">
        <f>'Headcount_Opex_Build'!H13</f>
        <v/>
      </c>
      <c r="I145" s="34">
        <f>'Headcount_Opex_Build'!I13</f>
        <v/>
      </c>
      <c r="J145" s="34">
        <f>'Headcount_Opex_Build'!J13</f>
        <v/>
      </c>
      <c r="K145" s="34">
        <f>'Headcount_Opex_Build'!K13</f>
        <v/>
      </c>
      <c r="L145" s="34">
        <f>'Headcount_Opex_Build'!L13</f>
        <v/>
      </c>
      <c r="M145" s="34">
        <f>'Headcount_Opex_Build'!M13</f>
        <v/>
      </c>
      <c r="N145" s="34">
        <f>'Headcount_Opex_Build'!N13</f>
        <v/>
      </c>
      <c r="O145" s="34">
        <f>'Headcount_Opex_Build'!O13</f>
        <v/>
      </c>
      <c r="P145" s="34">
        <f>'Headcount_Opex_Build'!P13</f>
        <v/>
      </c>
      <c r="Q145" s="34">
        <f>'Headcount_Opex_Build'!Q13</f>
        <v/>
      </c>
      <c r="R145" s="34">
        <f>'Headcount_Opex_Build'!R13</f>
        <v/>
      </c>
      <c r="S145" s="35">
        <f>R145*(1+Inputs_Scenarios!$F$23)</f>
        <v/>
      </c>
      <c r="T145" s="35">
        <f>S145*(1+Inputs_Scenarios!$F$23)</f>
        <v/>
      </c>
      <c r="U145" s="35">
        <f>T145*(1+Inputs_Scenarios!$F$23)</f>
        <v/>
      </c>
      <c r="V145" s="35">
        <f>U145*(1+Inputs_Scenarios!$F$23)</f>
        <v/>
      </c>
    </row>
    <row r="146">
      <c r="A146" s="4" t="inlineStr">
        <is>
          <t>s4_cph_gna</t>
        </is>
      </c>
      <c r="B146" s="24" t="inlineStr">
        <is>
          <t>GNA spend per employee</t>
        </is>
      </c>
      <c r="C146" s="4" t="inlineStr"/>
      <c r="G146" s="34">
        <f>'Headcount_Opex_Build'!G15</f>
        <v/>
      </c>
      <c r="H146" s="34">
        <f>'Headcount_Opex_Build'!H15</f>
        <v/>
      </c>
      <c r="I146" s="34">
        <f>'Headcount_Opex_Build'!I15</f>
        <v/>
      </c>
      <c r="J146" s="34">
        <f>'Headcount_Opex_Build'!J15</f>
        <v/>
      </c>
      <c r="K146" s="34">
        <f>'Headcount_Opex_Build'!K15</f>
        <v/>
      </c>
      <c r="L146" s="34">
        <f>'Headcount_Opex_Build'!L15</f>
        <v/>
      </c>
      <c r="M146" s="34">
        <f>'Headcount_Opex_Build'!M15</f>
        <v/>
      </c>
      <c r="N146" s="34">
        <f>'Headcount_Opex_Build'!N15</f>
        <v/>
      </c>
      <c r="O146" s="34">
        <f>'Headcount_Opex_Build'!O15</f>
        <v/>
      </c>
      <c r="P146" s="34">
        <f>'Headcount_Opex_Build'!P15</f>
        <v/>
      </c>
      <c r="Q146" s="34">
        <f>'Headcount_Opex_Build'!Q15</f>
        <v/>
      </c>
      <c r="R146" s="34">
        <f>'Headcount_Opex_Build'!R15</f>
        <v/>
      </c>
      <c r="S146" s="35">
        <f>R146*(1+Inputs_Scenarios!$F$25)</f>
        <v/>
      </c>
      <c r="T146" s="35">
        <f>S146*(1+Inputs_Scenarios!$F$25)</f>
        <v/>
      </c>
      <c r="U146" s="35">
        <f>T146*(1+Inputs_Scenarios!$F$25)</f>
        <v/>
      </c>
      <c r="V146" s="35">
        <f>U146*(1+Inputs_Scenarios!$F$25)</f>
        <v/>
      </c>
    </row>
    <row r="147">
      <c r="A147" s="4" t="inlineStr">
        <is>
          <t>s4_ng_opex</t>
        </is>
      </c>
      <c r="B147" s="24" t="inlineStr">
        <is>
          <t>Non-GAAP operating expenses</t>
        </is>
      </c>
      <c r="C147" s="4" t="inlineStr"/>
      <c r="S147" s="27">
        <f>S143*(S144+S145+S146)</f>
        <v/>
      </c>
      <c r="T147" s="27">
        <f>T143*(T144+T145+T146)</f>
        <v/>
      </c>
      <c r="U147" s="27">
        <f>U143*(U144+U145+U146)</f>
        <v/>
      </c>
      <c r="V147" s="27">
        <f>V143*(V144+V145+V146)</f>
        <v/>
      </c>
    </row>
    <row r="148">
      <c r="A148" s="4" t="inlineStr">
        <is>
          <t>s4_amort</t>
        </is>
      </c>
      <c r="B148" s="24" t="inlineStr">
        <is>
          <t>Amortization</t>
        </is>
      </c>
      <c r="C148" s="4" t="inlineStr"/>
      <c r="S148" s="27">
        <f>Inputs_Scenarios!$F$20</f>
        <v/>
      </c>
      <c r="T148" s="27">
        <f>Inputs_Scenarios!$F$20</f>
        <v/>
      </c>
      <c r="U148" s="27">
        <f>Inputs_Scenarios!$F$20</f>
        <v/>
      </c>
      <c r="V148" s="27">
        <f>Inputs_Scenarios!$F$20</f>
        <v/>
      </c>
    </row>
    <row r="149">
      <c r="A149" s="4" t="inlineStr">
        <is>
          <t>s4_ng_op</t>
        </is>
      </c>
      <c r="B149" s="2" t="inlineStr">
        <is>
          <t>Non-GAAP operating income</t>
        </is>
      </c>
      <c r="C149" s="4" t="inlineStr"/>
      <c r="S149" s="29">
        <f>S142-S147+S148</f>
        <v/>
      </c>
      <c r="T149" s="29">
        <f>T142-T147+T148</f>
        <v/>
      </c>
      <c r="U149" s="29">
        <f>U142-U147+U148</f>
        <v/>
      </c>
      <c r="V149" s="29">
        <f>V142-V147+V148</f>
        <v/>
      </c>
    </row>
    <row r="150">
      <c r="A150" s="4" t="inlineStr">
        <is>
          <t>s4_fcf</t>
        </is>
      </c>
      <c r="B150" s="2" t="inlineStr">
        <is>
          <t>Free cash flow</t>
        </is>
      </c>
      <c r="C150" s="4" t="inlineStr"/>
      <c r="S150" s="29">
        <f>S149*INDEX(Inputs_Scenarios!$F$29:$F$32,S6)</f>
        <v/>
      </c>
      <c r="T150" s="29">
        <f>T149*INDEX(Inputs_Scenarios!$F$29:$F$32,T6)</f>
        <v/>
      </c>
      <c r="U150" s="29">
        <f>U149*INDEX(Inputs_Scenarios!$F$29:$F$32,U6)</f>
        <v/>
      </c>
      <c r="V150" s="29">
        <f>V149*INDEX(Inputs_Scenarios!$F$29:$F$32,V6)</f>
        <v/>
      </c>
    </row>
    <row r="151">
      <c r="A151" s="4" t="inlineStr">
        <is>
          <t>s5_h</t>
        </is>
      </c>
      <c r="B151" s="2" t="inlineStr">
        <is>
          <t>Step 5: plan with actual expansion of existing customers (nrr / usage), new-logo volume, arr per new logo, enterprise advanced mix / timing, services</t>
        </is>
      </c>
      <c r="C151" s="4" t="inlineStr"/>
    </row>
    <row r="152">
      <c r="A152" s="4" t="inlineStr">
        <is>
          <t>s5_g</t>
        </is>
      </c>
      <c r="B152" s="24" t="inlineStr">
        <is>
          <t>Quarterly net expansion</t>
        </is>
      </c>
      <c r="C152" s="4" t="inlineStr"/>
      <c r="S152" s="43">
        <f>S43</f>
        <v/>
      </c>
      <c r="T152" s="43">
        <f>T43</f>
        <v/>
      </c>
      <c r="U152" s="43">
        <f>U43</f>
        <v/>
      </c>
      <c r="V152" s="43">
        <f>V43</f>
        <v/>
      </c>
    </row>
    <row r="153">
      <c r="A153" s="4" t="inlineStr">
        <is>
          <t>s5_nl</t>
        </is>
      </c>
      <c r="B153" s="24" t="inlineStr">
        <is>
          <t>Gross new logos</t>
        </is>
      </c>
      <c r="C153" s="4" t="inlineStr"/>
      <c r="S153" s="25">
        <f>S44</f>
        <v/>
      </c>
      <c r="T153" s="25">
        <f>T44</f>
        <v/>
      </c>
      <c r="U153" s="25">
        <f>U44</f>
        <v/>
      </c>
      <c r="V153" s="25">
        <f>V44</f>
        <v/>
      </c>
    </row>
    <row r="154">
      <c r="A154" s="4" t="inlineStr">
        <is>
          <t>s5_arpl</t>
        </is>
      </c>
      <c r="B154" s="24" t="inlineStr">
        <is>
          <t>ARR per new logo</t>
        </is>
      </c>
      <c r="C154" s="4" t="inlineStr"/>
      <c r="S154" s="35">
        <f>S45</f>
        <v/>
      </c>
      <c r="T154" s="35">
        <f>T45</f>
        <v/>
      </c>
      <c r="U154" s="35">
        <f>U45</f>
        <v/>
      </c>
      <c r="V154" s="35">
        <f>V45</f>
        <v/>
      </c>
    </row>
    <row r="155">
      <c r="A155" s="4" t="inlineStr">
        <is>
          <t>s5_arr</t>
        </is>
      </c>
      <c r="B155" s="24" t="inlineStr">
        <is>
          <t>ARR proxy</t>
        </is>
      </c>
      <c r="C155" s="4" t="inlineStr"/>
      <c r="G155" s="26">
        <f>'Cohort_ARR_Build'!G15</f>
        <v/>
      </c>
      <c r="H155" s="26">
        <f>'Cohort_ARR_Build'!H15</f>
        <v/>
      </c>
      <c r="I155" s="26">
        <f>'Cohort_ARR_Build'!I15</f>
        <v/>
      </c>
      <c r="J155" s="26">
        <f>'Cohort_ARR_Build'!J15</f>
        <v/>
      </c>
      <c r="K155" s="26">
        <f>'Cohort_ARR_Build'!K15</f>
        <v/>
      </c>
      <c r="L155" s="26">
        <f>'Cohort_ARR_Build'!L15</f>
        <v/>
      </c>
      <c r="M155" s="26">
        <f>'Cohort_ARR_Build'!M15</f>
        <v/>
      </c>
      <c r="N155" s="26">
        <f>'Cohort_ARR_Build'!N15</f>
        <v/>
      </c>
      <c r="O155" s="26">
        <f>'Cohort_ARR_Build'!O15</f>
        <v/>
      </c>
      <c r="P155" s="26">
        <f>'Cohort_ARR_Build'!P15</f>
        <v/>
      </c>
      <c r="Q155" s="26">
        <f>'Cohort_ARR_Build'!Q15</f>
        <v/>
      </c>
      <c r="R155" s="26">
        <f>'Cohort_ARR_Build'!R15</f>
        <v/>
      </c>
      <c r="S155" s="27">
        <f>R155*(1+S152)+S153*S154</f>
        <v/>
      </c>
      <c r="T155" s="27">
        <f>S155*(1+T152)+T153*T154</f>
        <v/>
      </c>
      <c r="U155" s="27">
        <f>T155*(1+U152)+U153*U154</f>
        <v/>
      </c>
      <c r="V155" s="27">
        <f>U155*(1+V152)+V153*V154</f>
        <v/>
      </c>
    </row>
    <row r="156">
      <c r="A156" s="4" t="inlineStr">
        <is>
          <t>s5_ea</t>
        </is>
      </c>
      <c r="B156" s="24" t="inlineStr">
        <is>
          <t>EA revenue</t>
        </is>
      </c>
      <c r="C156" s="4" t="inlineStr"/>
      <c r="D156" s="26">
        <f>'Operating_Model'!D9</f>
        <v/>
      </c>
      <c r="E156" s="26">
        <f>'Operating_Model'!E9</f>
        <v/>
      </c>
      <c r="F156" s="26">
        <f>'Operating_Model'!F9</f>
        <v/>
      </c>
      <c r="G156" s="26">
        <f>'Operating_Model'!G9</f>
        <v/>
      </c>
      <c r="H156" s="26">
        <f>'Operating_Model'!H9</f>
        <v/>
      </c>
      <c r="I156" s="26">
        <f>'Operating_Model'!I9</f>
        <v/>
      </c>
      <c r="J156" s="26">
        <f>'Operating_Model'!J9</f>
        <v/>
      </c>
      <c r="K156" s="26">
        <f>'Operating_Model'!K9</f>
        <v/>
      </c>
      <c r="L156" s="26">
        <f>'Operating_Model'!L9</f>
        <v/>
      </c>
      <c r="M156" s="26">
        <f>'Operating_Model'!M9</f>
        <v/>
      </c>
      <c r="N156" s="26">
        <f>'Operating_Model'!N9</f>
        <v/>
      </c>
      <c r="O156" s="26">
        <f>'Operating_Model'!O9</f>
        <v/>
      </c>
      <c r="P156" s="26">
        <f>'Operating_Model'!P9</f>
        <v/>
      </c>
      <c r="Q156" s="26">
        <f>'Operating_Model'!Q9</f>
        <v/>
      </c>
      <c r="R156" s="26">
        <f>'Operating_Model'!R9</f>
        <v/>
      </c>
      <c r="S156" s="27">
        <f>O156*(1+S46)</f>
        <v/>
      </c>
      <c r="T156" s="27">
        <f>P156*(1+T46)</f>
        <v/>
      </c>
      <c r="U156" s="27">
        <f>Q156*(1+U46)</f>
        <v/>
      </c>
      <c r="V156" s="27">
        <f>R156*(1+V46)</f>
        <v/>
      </c>
    </row>
    <row r="157">
      <c r="A157" s="4" t="inlineStr">
        <is>
          <t>s5_ea_ttm</t>
        </is>
      </c>
      <c r="B157" s="24" t="inlineStr">
        <is>
          <t>EA trailing 4Q</t>
        </is>
      </c>
      <c r="C157" s="4" t="inlineStr"/>
      <c r="S157" s="27">
        <f>SUM(P156:S156)</f>
        <v/>
      </c>
      <c r="T157" s="27">
        <f>SUM(Q156:T156)</f>
        <v/>
      </c>
      <c r="U157" s="27">
        <f>SUM(R156:U156)</f>
        <v/>
      </c>
      <c r="V157" s="27">
        <f>SUM(S156:V156)</f>
        <v/>
      </c>
    </row>
    <row r="158">
      <c r="A158" s="4" t="inlineStr">
        <is>
          <t>s5_atlas</t>
        </is>
      </c>
      <c r="B158" s="24" t="inlineStr">
        <is>
          <t>Atlas revenue</t>
        </is>
      </c>
      <c r="C158" s="4" t="inlineStr"/>
      <c r="S158" s="27">
        <f>(S155-S157)*S5/Inputs_Scenarios!$C$5</f>
        <v/>
      </c>
      <c r="T158" s="27">
        <f>(T155-T157)*T5/Inputs_Scenarios!$C$5</f>
        <v/>
      </c>
      <c r="U158" s="27">
        <f>(U155-U157)*U5/Inputs_Scenarios!$C$5</f>
        <v/>
      </c>
      <c r="V158" s="27">
        <f>(V155-V157)*V5/Inputs_Scenarios!$C$5</f>
        <v/>
      </c>
    </row>
    <row r="159">
      <c r="A159" s="4" t="inlineStr">
        <is>
          <t>s5_svc</t>
        </is>
      </c>
      <c r="B159" s="24" t="inlineStr">
        <is>
          <t>Services revenue</t>
        </is>
      </c>
      <c r="C159" s="4" t="inlineStr"/>
      <c r="D159" s="26">
        <f>'Operating_Model'!D11</f>
        <v/>
      </c>
      <c r="E159" s="26">
        <f>'Operating_Model'!E11</f>
        <v/>
      </c>
      <c r="F159" s="26">
        <f>'Operating_Model'!F11</f>
        <v/>
      </c>
      <c r="G159" s="26">
        <f>'Operating_Model'!G11</f>
        <v/>
      </c>
      <c r="H159" s="26">
        <f>'Operating_Model'!H11</f>
        <v/>
      </c>
      <c r="I159" s="26">
        <f>'Operating_Model'!I11</f>
        <v/>
      </c>
      <c r="J159" s="26">
        <f>'Operating_Model'!J11</f>
        <v/>
      </c>
      <c r="K159" s="26">
        <f>'Operating_Model'!K11</f>
        <v/>
      </c>
      <c r="L159" s="26">
        <f>'Operating_Model'!L11</f>
        <v/>
      </c>
      <c r="M159" s="26">
        <f>'Operating_Model'!M11</f>
        <v/>
      </c>
      <c r="N159" s="26">
        <f>'Operating_Model'!N11</f>
        <v/>
      </c>
      <c r="O159" s="26">
        <f>'Operating_Model'!O11</f>
        <v/>
      </c>
      <c r="P159" s="26">
        <f>'Operating_Model'!P11</f>
        <v/>
      </c>
      <c r="Q159" s="26">
        <f>'Operating_Model'!Q11</f>
        <v/>
      </c>
      <c r="R159" s="26">
        <f>'Operating_Model'!R11</f>
        <v/>
      </c>
      <c r="S159" s="27">
        <f>O159*(1+S47)</f>
        <v/>
      </c>
      <c r="T159" s="27">
        <f>P159*(1+T47)</f>
        <v/>
      </c>
      <c r="U159" s="27">
        <f>Q159*(1+U47)</f>
        <v/>
      </c>
      <c r="V159" s="27">
        <f>R159*(1+V47)</f>
        <v/>
      </c>
    </row>
    <row r="160">
      <c r="A160" s="4" t="inlineStr">
        <is>
          <t>s5_sub</t>
        </is>
      </c>
      <c r="B160" s="24" t="inlineStr">
        <is>
          <t>Subscription revenue</t>
        </is>
      </c>
      <c r="C160" s="4" t="inlineStr"/>
      <c r="S160" s="27">
        <f>S158+S156</f>
        <v/>
      </c>
      <c r="T160" s="27">
        <f>T158+T156</f>
        <v/>
      </c>
      <c r="U160" s="27">
        <f>U158+U156</f>
        <v/>
      </c>
      <c r="V160" s="27">
        <f>V158+V156</f>
        <v/>
      </c>
    </row>
    <row r="161">
      <c r="A161" s="4" t="inlineStr">
        <is>
          <t>s5_revenue</t>
        </is>
      </c>
      <c r="B161" s="2" t="inlineStr">
        <is>
          <t>Total revenue</t>
        </is>
      </c>
      <c r="C161" s="4" t="inlineStr"/>
      <c r="S161" s="29">
        <f>S160+S159</f>
        <v/>
      </c>
      <c r="T161" s="29">
        <f>T160+T159</f>
        <v/>
      </c>
      <c r="U161" s="29">
        <f>U160+U159</f>
        <v/>
      </c>
      <c r="V161" s="29">
        <f>V160+V159</f>
        <v/>
      </c>
    </row>
    <row r="162">
      <c r="A162" s="4" t="inlineStr">
        <is>
          <t>s5_ng_gp</t>
        </is>
      </c>
      <c r="B162" s="24" t="inlineStr">
        <is>
          <t>Non-GAAP gross profit</t>
        </is>
      </c>
      <c r="C162" s="4" t="inlineStr"/>
      <c r="S162" s="27">
        <f>S161-S160*(1-Inputs_Scenarios!$F$17)-S159*(1-Inputs_Scenarios!$F$18)+S161*(Inputs_Scenarios!$F$27+Inputs_Scenarios!$F$28)</f>
        <v/>
      </c>
      <c r="T162" s="27">
        <f>T161-T160*(1-Inputs_Scenarios!$F$17)-T159*(1-Inputs_Scenarios!$F$18)+T161*(Inputs_Scenarios!$F$27+Inputs_Scenarios!$F$28)</f>
        <v/>
      </c>
      <c r="U162" s="27">
        <f>U161-U160*(1-Inputs_Scenarios!$F$17)-U159*(1-Inputs_Scenarios!$F$18)+U161*(Inputs_Scenarios!$F$27+Inputs_Scenarios!$F$28)</f>
        <v/>
      </c>
      <c r="V162" s="27">
        <f>V161-V160*(1-Inputs_Scenarios!$F$17)-V159*(1-Inputs_Scenarios!$F$18)+V161*(Inputs_Scenarios!$F$27+Inputs_Scenarios!$F$28)</f>
        <v/>
      </c>
    </row>
    <row r="163">
      <c r="A163" s="4" t="inlineStr">
        <is>
          <t>s5_hc</t>
        </is>
      </c>
      <c r="B163" s="24" t="inlineStr">
        <is>
          <t>Employees</t>
        </is>
      </c>
      <c r="C163" s="4" t="inlineStr"/>
      <c r="G163" s="38">
        <f>'Headcount_Opex_Build'!G8</f>
        <v/>
      </c>
      <c r="H163" s="38">
        <f>'Headcount_Opex_Build'!H8</f>
        <v/>
      </c>
      <c r="I163" s="38">
        <f>'Headcount_Opex_Build'!I8</f>
        <v/>
      </c>
      <c r="J163" s="38">
        <f>'Headcount_Opex_Build'!J8</f>
        <v/>
      </c>
      <c r="K163" s="38">
        <f>'Headcount_Opex_Build'!K8</f>
        <v/>
      </c>
      <c r="L163" s="38">
        <f>'Headcount_Opex_Build'!L8</f>
        <v/>
      </c>
      <c r="M163" s="38">
        <f>'Headcount_Opex_Build'!M8</f>
        <v/>
      </c>
      <c r="N163" s="38">
        <f>'Headcount_Opex_Build'!N8</f>
        <v/>
      </c>
      <c r="O163" s="38">
        <f>'Headcount_Opex_Build'!O8</f>
        <v/>
      </c>
      <c r="P163" s="38">
        <f>'Headcount_Opex_Build'!P8</f>
        <v/>
      </c>
      <c r="Q163" s="38">
        <f>'Headcount_Opex_Build'!Q8</f>
        <v/>
      </c>
      <c r="R163" s="38">
        <f>'Headcount_Opex_Build'!R8</f>
        <v/>
      </c>
      <c r="S163" s="25">
        <f>R163+Inputs_Scenarios!$F$19</f>
        <v/>
      </c>
      <c r="T163" s="25">
        <f>S163+Inputs_Scenarios!$F$19</f>
        <v/>
      </c>
      <c r="U163" s="25">
        <f>T163+Inputs_Scenarios!$F$19</f>
        <v/>
      </c>
      <c r="V163" s="25">
        <f>U163+Inputs_Scenarios!$F$19</f>
        <v/>
      </c>
    </row>
    <row r="164">
      <c r="A164" s="4" t="inlineStr">
        <is>
          <t>s5_cph_rnd</t>
        </is>
      </c>
      <c r="B164" s="24" t="inlineStr">
        <is>
          <t>RND spend per employee</t>
        </is>
      </c>
      <c r="C164" s="4" t="inlineStr"/>
      <c r="G164" s="34">
        <f>'Headcount_Opex_Build'!G11</f>
        <v/>
      </c>
      <c r="H164" s="34">
        <f>'Headcount_Opex_Build'!H11</f>
        <v/>
      </c>
      <c r="I164" s="34">
        <f>'Headcount_Opex_Build'!I11</f>
        <v/>
      </c>
      <c r="J164" s="34">
        <f>'Headcount_Opex_Build'!J11</f>
        <v/>
      </c>
      <c r="K164" s="34">
        <f>'Headcount_Opex_Build'!K11</f>
        <v/>
      </c>
      <c r="L164" s="34">
        <f>'Headcount_Opex_Build'!L11</f>
        <v/>
      </c>
      <c r="M164" s="34">
        <f>'Headcount_Opex_Build'!M11</f>
        <v/>
      </c>
      <c r="N164" s="34">
        <f>'Headcount_Opex_Build'!N11</f>
        <v/>
      </c>
      <c r="O164" s="34">
        <f>'Headcount_Opex_Build'!O11</f>
        <v/>
      </c>
      <c r="P164" s="34">
        <f>'Headcount_Opex_Build'!P11</f>
        <v/>
      </c>
      <c r="Q164" s="34">
        <f>'Headcount_Opex_Build'!Q11</f>
        <v/>
      </c>
      <c r="R164" s="34">
        <f>'Headcount_Opex_Build'!R11</f>
        <v/>
      </c>
      <c r="S164" s="35">
        <f>R164*(1+Inputs_Scenarios!$F$21)</f>
        <v/>
      </c>
      <c r="T164" s="35">
        <f>S164*(1+Inputs_Scenarios!$F$21)</f>
        <v/>
      </c>
      <c r="U164" s="35">
        <f>T164*(1+Inputs_Scenarios!$F$21)</f>
        <v/>
      </c>
      <c r="V164" s="35">
        <f>U164*(1+Inputs_Scenarios!$F$21)</f>
        <v/>
      </c>
    </row>
    <row r="165">
      <c r="A165" s="4" t="inlineStr">
        <is>
          <t>s5_cph_snm</t>
        </is>
      </c>
      <c r="B165" s="24" t="inlineStr">
        <is>
          <t>SNM spend per employee</t>
        </is>
      </c>
      <c r="C165" s="4" t="inlineStr"/>
      <c r="G165" s="34">
        <f>'Headcount_Opex_Build'!G13</f>
        <v/>
      </c>
      <c r="H165" s="34">
        <f>'Headcount_Opex_Build'!H13</f>
        <v/>
      </c>
      <c r="I165" s="34">
        <f>'Headcount_Opex_Build'!I13</f>
        <v/>
      </c>
      <c r="J165" s="34">
        <f>'Headcount_Opex_Build'!J13</f>
        <v/>
      </c>
      <c r="K165" s="34">
        <f>'Headcount_Opex_Build'!K13</f>
        <v/>
      </c>
      <c r="L165" s="34">
        <f>'Headcount_Opex_Build'!L13</f>
        <v/>
      </c>
      <c r="M165" s="34">
        <f>'Headcount_Opex_Build'!M13</f>
        <v/>
      </c>
      <c r="N165" s="34">
        <f>'Headcount_Opex_Build'!N13</f>
        <v/>
      </c>
      <c r="O165" s="34">
        <f>'Headcount_Opex_Build'!O13</f>
        <v/>
      </c>
      <c r="P165" s="34">
        <f>'Headcount_Opex_Build'!P13</f>
        <v/>
      </c>
      <c r="Q165" s="34">
        <f>'Headcount_Opex_Build'!Q13</f>
        <v/>
      </c>
      <c r="R165" s="34">
        <f>'Headcount_Opex_Build'!R13</f>
        <v/>
      </c>
      <c r="S165" s="35">
        <f>R165*(1+Inputs_Scenarios!$F$23)</f>
        <v/>
      </c>
      <c r="T165" s="35">
        <f>S165*(1+Inputs_Scenarios!$F$23)</f>
        <v/>
      </c>
      <c r="U165" s="35">
        <f>T165*(1+Inputs_Scenarios!$F$23)</f>
        <v/>
      </c>
      <c r="V165" s="35">
        <f>U165*(1+Inputs_Scenarios!$F$23)</f>
        <v/>
      </c>
    </row>
    <row r="166">
      <c r="A166" s="4" t="inlineStr">
        <is>
          <t>s5_cph_gna</t>
        </is>
      </c>
      <c r="B166" s="24" t="inlineStr">
        <is>
          <t>GNA spend per employee</t>
        </is>
      </c>
      <c r="C166" s="4" t="inlineStr"/>
      <c r="G166" s="34">
        <f>'Headcount_Opex_Build'!G15</f>
        <v/>
      </c>
      <c r="H166" s="34">
        <f>'Headcount_Opex_Build'!H15</f>
        <v/>
      </c>
      <c r="I166" s="34">
        <f>'Headcount_Opex_Build'!I15</f>
        <v/>
      </c>
      <c r="J166" s="34">
        <f>'Headcount_Opex_Build'!J15</f>
        <v/>
      </c>
      <c r="K166" s="34">
        <f>'Headcount_Opex_Build'!K15</f>
        <v/>
      </c>
      <c r="L166" s="34">
        <f>'Headcount_Opex_Build'!L15</f>
        <v/>
      </c>
      <c r="M166" s="34">
        <f>'Headcount_Opex_Build'!M15</f>
        <v/>
      </c>
      <c r="N166" s="34">
        <f>'Headcount_Opex_Build'!N15</f>
        <v/>
      </c>
      <c r="O166" s="34">
        <f>'Headcount_Opex_Build'!O15</f>
        <v/>
      </c>
      <c r="P166" s="34">
        <f>'Headcount_Opex_Build'!P15</f>
        <v/>
      </c>
      <c r="Q166" s="34">
        <f>'Headcount_Opex_Build'!Q15</f>
        <v/>
      </c>
      <c r="R166" s="34">
        <f>'Headcount_Opex_Build'!R15</f>
        <v/>
      </c>
      <c r="S166" s="35">
        <f>R166*(1+Inputs_Scenarios!$F$25)</f>
        <v/>
      </c>
      <c r="T166" s="35">
        <f>S166*(1+Inputs_Scenarios!$F$25)</f>
        <v/>
      </c>
      <c r="U166" s="35">
        <f>T166*(1+Inputs_Scenarios!$F$25)</f>
        <v/>
      </c>
      <c r="V166" s="35">
        <f>U166*(1+Inputs_Scenarios!$F$25)</f>
        <v/>
      </c>
    </row>
    <row r="167">
      <c r="A167" s="4" t="inlineStr">
        <is>
          <t>s5_ng_opex</t>
        </is>
      </c>
      <c r="B167" s="24" t="inlineStr">
        <is>
          <t>Non-GAAP operating expenses</t>
        </is>
      </c>
      <c r="C167" s="4" t="inlineStr"/>
      <c r="S167" s="27">
        <f>S163*(S164+S165+S166)</f>
        <v/>
      </c>
      <c r="T167" s="27">
        <f>T163*(T164+T165+T166)</f>
        <v/>
      </c>
      <c r="U167" s="27">
        <f>U163*(U164+U165+U166)</f>
        <v/>
      </c>
      <c r="V167" s="27">
        <f>V163*(V164+V165+V166)</f>
        <v/>
      </c>
    </row>
    <row r="168">
      <c r="A168" s="4" t="inlineStr">
        <is>
          <t>s5_amort</t>
        </is>
      </c>
      <c r="B168" s="24" t="inlineStr">
        <is>
          <t>Amortization</t>
        </is>
      </c>
      <c r="C168" s="4" t="inlineStr"/>
      <c r="S168" s="27">
        <f>Inputs_Scenarios!$F$20</f>
        <v/>
      </c>
      <c r="T168" s="27">
        <f>Inputs_Scenarios!$F$20</f>
        <v/>
      </c>
      <c r="U168" s="27">
        <f>Inputs_Scenarios!$F$20</f>
        <v/>
      </c>
      <c r="V168" s="27">
        <f>Inputs_Scenarios!$F$20</f>
        <v/>
      </c>
    </row>
    <row r="169">
      <c r="A169" s="4" t="inlineStr">
        <is>
          <t>s5_ng_op</t>
        </is>
      </c>
      <c r="B169" s="2" t="inlineStr">
        <is>
          <t>Non-GAAP operating income</t>
        </is>
      </c>
      <c r="C169" s="4" t="inlineStr"/>
      <c r="S169" s="29">
        <f>S162-S167+S168</f>
        <v/>
      </c>
      <c r="T169" s="29">
        <f>T162-T167+T168</f>
        <v/>
      </c>
      <c r="U169" s="29">
        <f>U162-U167+U168</f>
        <v/>
      </c>
      <c r="V169" s="29">
        <f>V162-V167+V168</f>
        <v/>
      </c>
    </row>
    <row r="170">
      <c r="A170" s="4" t="inlineStr">
        <is>
          <t>s5_fcf</t>
        </is>
      </c>
      <c r="B170" s="2" t="inlineStr">
        <is>
          <t>Free cash flow</t>
        </is>
      </c>
      <c r="C170" s="4" t="inlineStr"/>
      <c r="S170" s="29">
        <f>S169*INDEX(Inputs_Scenarios!$F$29:$F$32,S6)</f>
        <v/>
      </c>
      <c r="T170" s="29">
        <f>T169*INDEX(Inputs_Scenarios!$F$29:$F$32,T6)</f>
        <v/>
      </c>
      <c r="U170" s="29">
        <f>U169*INDEX(Inputs_Scenarios!$F$29:$F$32,U6)</f>
        <v/>
      </c>
      <c r="V170" s="29">
        <f>V169*INDEX(Inputs_Scenarios!$F$29:$F$32,V6)</f>
        <v/>
      </c>
    </row>
    <row r="171">
      <c r="A171" s="4" t="inlineStr">
        <is>
          <t>s6_h</t>
        </is>
      </c>
      <c r="B171" s="2" t="inlineStr">
        <is>
          <t>Step 6: plan with actual expansion of existing customers (nrr / usage), new-logo volume, arr per new logo, enterprise advanced mix / timing, services, gross margin rate</t>
        </is>
      </c>
      <c r="C171" s="4" t="inlineStr"/>
    </row>
    <row r="172">
      <c r="A172" s="4" t="inlineStr">
        <is>
          <t>s6_g</t>
        </is>
      </c>
      <c r="B172" s="24" t="inlineStr">
        <is>
          <t>Quarterly net expansion</t>
        </is>
      </c>
      <c r="C172" s="4" t="inlineStr"/>
      <c r="S172" s="43">
        <f>S43</f>
        <v/>
      </c>
      <c r="T172" s="43">
        <f>T43</f>
        <v/>
      </c>
      <c r="U172" s="43">
        <f>U43</f>
        <v/>
      </c>
      <c r="V172" s="43">
        <f>V43</f>
        <v/>
      </c>
    </row>
    <row r="173">
      <c r="A173" s="4" t="inlineStr">
        <is>
          <t>s6_nl</t>
        </is>
      </c>
      <c r="B173" s="24" t="inlineStr">
        <is>
          <t>Gross new logos</t>
        </is>
      </c>
      <c r="C173" s="4" t="inlineStr"/>
      <c r="S173" s="25">
        <f>S44</f>
        <v/>
      </c>
      <c r="T173" s="25">
        <f>T44</f>
        <v/>
      </c>
      <c r="U173" s="25">
        <f>U44</f>
        <v/>
      </c>
      <c r="V173" s="25">
        <f>V44</f>
        <v/>
      </c>
    </row>
    <row r="174">
      <c r="A174" s="4" t="inlineStr">
        <is>
          <t>s6_arpl</t>
        </is>
      </c>
      <c r="B174" s="24" t="inlineStr">
        <is>
          <t>ARR per new logo</t>
        </is>
      </c>
      <c r="C174" s="4" t="inlineStr"/>
      <c r="S174" s="35">
        <f>S45</f>
        <v/>
      </c>
      <c r="T174" s="35">
        <f>T45</f>
        <v/>
      </c>
      <c r="U174" s="35">
        <f>U45</f>
        <v/>
      </c>
      <c r="V174" s="35">
        <f>V45</f>
        <v/>
      </c>
    </row>
    <row r="175">
      <c r="A175" s="4" t="inlineStr">
        <is>
          <t>s6_arr</t>
        </is>
      </c>
      <c r="B175" s="24" t="inlineStr">
        <is>
          <t>ARR proxy</t>
        </is>
      </c>
      <c r="C175" s="4" t="inlineStr"/>
      <c r="G175" s="26">
        <f>'Cohort_ARR_Build'!G15</f>
        <v/>
      </c>
      <c r="H175" s="26">
        <f>'Cohort_ARR_Build'!H15</f>
        <v/>
      </c>
      <c r="I175" s="26">
        <f>'Cohort_ARR_Build'!I15</f>
        <v/>
      </c>
      <c r="J175" s="26">
        <f>'Cohort_ARR_Build'!J15</f>
        <v/>
      </c>
      <c r="K175" s="26">
        <f>'Cohort_ARR_Build'!K15</f>
        <v/>
      </c>
      <c r="L175" s="26">
        <f>'Cohort_ARR_Build'!L15</f>
        <v/>
      </c>
      <c r="M175" s="26">
        <f>'Cohort_ARR_Build'!M15</f>
        <v/>
      </c>
      <c r="N175" s="26">
        <f>'Cohort_ARR_Build'!N15</f>
        <v/>
      </c>
      <c r="O175" s="26">
        <f>'Cohort_ARR_Build'!O15</f>
        <v/>
      </c>
      <c r="P175" s="26">
        <f>'Cohort_ARR_Build'!P15</f>
        <v/>
      </c>
      <c r="Q175" s="26">
        <f>'Cohort_ARR_Build'!Q15</f>
        <v/>
      </c>
      <c r="R175" s="26">
        <f>'Cohort_ARR_Build'!R15</f>
        <v/>
      </c>
      <c r="S175" s="27">
        <f>R175*(1+S172)+S173*S174</f>
        <v/>
      </c>
      <c r="T175" s="27">
        <f>S175*(1+T172)+T173*T174</f>
        <v/>
      </c>
      <c r="U175" s="27">
        <f>T175*(1+U172)+U173*U174</f>
        <v/>
      </c>
      <c r="V175" s="27">
        <f>U175*(1+V172)+V173*V174</f>
        <v/>
      </c>
    </row>
    <row r="176">
      <c r="A176" s="4" t="inlineStr">
        <is>
          <t>s6_ea</t>
        </is>
      </c>
      <c r="B176" s="24" t="inlineStr">
        <is>
          <t>EA revenue</t>
        </is>
      </c>
      <c r="C176" s="4" t="inlineStr"/>
      <c r="D176" s="26">
        <f>'Operating_Model'!D9</f>
        <v/>
      </c>
      <c r="E176" s="26">
        <f>'Operating_Model'!E9</f>
        <v/>
      </c>
      <c r="F176" s="26">
        <f>'Operating_Model'!F9</f>
        <v/>
      </c>
      <c r="G176" s="26">
        <f>'Operating_Model'!G9</f>
        <v/>
      </c>
      <c r="H176" s="26">
        <f>'Operating_Model'!H9</f>
        <v/>
      </c>
      <c r="I176" s="26">
        <f>'Operating_Model'!I9</f>
        <v/>
      </c>
      <c r="J176" s="26">
        <f>'Operating_Model'!J9</f>
        <v/>
      </c>
      <c r="K176" s="26">
        <f>'Operating_Model'!K9</f>
        <v/>
      </c>
      <c r="L176" s="26">
        <f>'Operating_Model'!L9</f>
        <v/>
      </c>
      <c r="M176" s="26">
        <f>'Operating_Model'!M9</f>
        <v/>
      </c>
      <c r="N176" s="26">
        <f>'Operating_Model'!N9</f>
        <v/>
      </c>
      <c r="O176" s="26">
        <f>'Operating_Model'!O9</f>
        <v/>
      </c>
      <c r="P176" s="26">
        <f>'Operating_Model'!P9</f>
        <v/>
      </c>
      <c r="Q176" s="26">
        <f>'Operating_Model'!Q9</f>
        <v/>
      </c>
      <c r="R176" s="26">
        <f>'Operating_Model'!R9</f>
        <v/>
      </c>
      <c r="S176" s="27">
        <f>O176*(1+S46)</f>
        <v/>
      </c>
      <c r="T176" s="27">
        <f>P176*(1+T46)</f>
        <v/>
      </c>
      <c r="U176" s="27">
        <f>Q176*(1+U46)</f>
        <v/>
      </c>
      <c r="V176" s="27">
        <f>R176*(1+V46)</f>
        <v/>
      </c>
    </row>
    <row r="177">
      <c r="A177" s="4" t="inlineStr">
        <is>
          <t>s6_ea_ttm</t>
        </is>
      </c>
      <c r="B177" s="24" t="inlineStr">
        <is>
          <t>EA trailing 4Q</t>
        </is>
      </c>
      <c r="C177" s="4" t="inlineStr"/>
      <c r="S177" s="27">
        <f>SUM(P176:S176)</f>
        <v/>
      </c>
      <c r="T177" s="27">
        <f>SUM(Q176:T176)</f>
        <v/>
      </c>
      <c r="U177" s="27">
        <f>SUM(R176:U176)</f>
        <v/>
      </c>
      <c r="V177" s="27">
        <f>SUM(S176:V176)</f>
        <v/>
      </c>
    </row>
    <row r="178">
      <c r="A178" s="4" t="inlineStr">
        <is>
          <t>s6_atlas</t>
        </is>
      </c>
      <c r="B178" s="24" t="inlineStr">
        <is>
          <t>Atlas revenue</t>
        </is>
      </c>
      <c r="C178" s="4" t="inlineStr"/>
      <c r="S178" s="27">
        <f>(S175-S177)*S5/Inputs_Scenarios!$C$5</f>
        <v/>
      </c>
      <c r="T178" s="27">
        <f>(T175-T177)*T5/Inputs_Scenarios!$C$5</f>
        <v/>
      </c>
      <c r="U178" s="27">
        <f>(U175-U177)*U5/Inputs_Scenarios!$C$5</f>
        <v/>
      </c>
      <c r="V178" s="27">
        <f>(V175-V177)*V5/Inputs_Scenarios!$C$5</f>
        <v/>
      </c>
    </row>
    <row r="179">
      <c r="A179" s="4" t="inlineStr">
        <is>
          <t>s6_svc</t>
        </is>
      </c>
      <c r="B179" s="24" t="inlineStr">
        <is>
          <t>Services revenue</t>
        </is>
      </c>
      <c r="C179" s="4" t="inlineStr"/>
      <c r="D179" s="26">
        <f>'Operating_Model'!D11</f>
        <v/>
      </c>
      <c r="E179" s="26">
        <f>'Operating_Model'!E11</f>
        <v/>
      </c>
      <c r="F179" s="26">
        <f>'Operating_Model'!F11</f>
        <v/>
      </c>
      <c r="G179" s="26">
        <f>'Operating_Model'!G11</f>
        <v/>
      </c>
      <c r="H179" s="26">
        <f>'Operating_Model'!H11</f>
        <v/>
      </c>
      <c r="I179" s="26">
        <f>'Operating_Model'!I11</f>
        <v/>
      </c>
      <c r="J179" s="26">
        <f>'Operating_Model'!J11</f>
        <v/>
      </c>
      <c r="K179" s="26">
        <f>'Operating_Model'!K11</f>
        <v/>
      </c>
      <c r="L179" s="26">
        <f>'Operating_Model'!L11</f>
        <v/>
      </c>
      <c r="M179" s="26">
        <f>'Operating_Model'!M11</f>
        <v/>
      </c>
      <c r="N179" s="26">
        <f>'Operating_Model'!N11</f>
        <v/>
      </c>
      <c r="O179" s="26">
        <f>'Operating_Model'!O11</f>
        <v/>
      </c>
      <c r="P179" s="26">
        <f>'Operating_Model'!P11</f>
        <v/>
      </c>
      <c r="Q179" s="26">
        <f>'Operating_Model'!Q11</f>
        <v/>
      </c>
      <c r="R179" s="26">
        <f>'Operating_Model'!R11</f>
        <v/>
      </c>
      <c r="S179" s="27">
        <f>O179*(1+S47)</f>
        <v/>
      </c>
      <c r="T179" s="27">
        <f>P179*(1+T47)</f>
        <v/>
      </c>
      <c r="U179" s="27">
        <f>Q179*(1+U47)</f>
        <v/>
      </c>
      <c r="V179" s="27">
        <f>R179*(1+V47)</f>
        <v/>
      </c>
    </row>
    <row r="180">
      <c r="A180" s="4" t="inlineStr">
        <is>
          <t>s6_sub</t>
        </is>
      </c>
      <c r="B180" s="24" t="inlineStr">
        <is>
          <t>Subscription revenue</t>
        </is>
      </c>
      <c r="C180" s="4" t="inlineStr"/>
      <c r="S180" s="27">
        <f>S178+S176</f>
        <v/>
      </c>
      <c r="T180" s="27">
        <f>T178+T176</f>
        <v/>
      </c>
      <c r="U180" s="27">
        <f>U178+U176</f>
        <v/>
      </c>
      <c r="V180" s="27">
        <f>V178+V176</f>
        <v/>
      </c>
    </row>
    <row r="181">
      <c r="A181" s="4" t="inlineStr">
        <is>
          <t>s6_revenue</t>
        </is>
      </c>
      <c r="B181" s="2" t="inlineStr">
        <is>
          <t>Total revenue</t>
        </is>
      </c>
      <c r="C181" s="4" t="inlineStr"/>
      <c r="S181" s="29">
        <f>S180+S179</f>
        <v/>
      </c>
      <c r="T181" s="29">
        <f>T180+T179</f>
        <v/>
      </c>
      <c r="U181" s="29">
        <f>U180+U179</f>
        <v/>
      </c>
      <c r="V181" s="29">
        <f>V180+V179</f>
        <v/>
      </c>
    </row>
    <row r="182">
      <c r="A182" s="4" t="inlineStr">
        <is>
          <t>s6_ng_gp</t>
        </is>
      </c>
      <c r="B182" s="24" t="inlineStr">
        <is>
          <t>Non-GAAP gross profit</t>
        </is>
      </c>
      <c r="C182" s="4" t="inlineStr"/>
      <c r="S182" s="27">
        <f>S181-S180*(1-S48)-S179*(1-S49)+S181*(S50)</f>
        <v/>
      </c>
      <c r="T182" s="27">
        <f>T181-T180*(1-T48)-T179*(1-T49)+T181*(T50)</f>
        <v/>
      </c>
      <c r="U182" s="27">
        <f>U181-U180*(1-U48)-U179*(1-U49)+U181*(U50)</f>
        <v/>
      </c>
      <c r="V182" s="27">
        <f>V181-V180*(1-V48)-V179*(1-V49)+V181*(V50)</f>
        <v/>
      </c>
    </row>
    <row r="183">
      <c r="A183" s="4" t="inlineStr">
        <is>
          <t>s6_hc</t>
        </is>
      </c>
      <c r="B183" s="24" t="inlineStr">
        <is>
          <t>Employees</t>
        </is>
      </c>
      <c r="C183" s="4" t="inlineStr"/>
      <c r="G183" s="38">
        <f>'Headcount_Opex_Build'!G8</f>
        <v/>
      </c>
      <c r="H183" s="38">
        <f>'Headcount_Opex_Build'!H8</f>
        <v/>
      </c>
      <c r="I183" s="38">
        <f>'Headcount_Opex_Build'!I8</f>
        <v/>
      </c>
      <c r="J183" s="38">
        <f>'Headcount_Opex_Build'!J8</f>
        <v/>
      </c>
      <c r="K183" s="38">
        <f>'Headcount_Opex_Build'!K8</f>
        <v/>
      </c>
      <c r="L183" s="38">
        <f>'Headcount_Opex_Build'!L8</f>
        <v/>
      </c>
      <c r="M183" s="38">
        <f>'Headcount_Opex_Build'!M8</f>
        <v/>
      </c>
      <c r="N183" s="38">
        <f>'Headcount_Opex_Build'!N8</f>
        <v/>
      </c>
      <c r="O183" s="38">
        <f>'Headcount_Opex_Build'!O8</f>
        <v/>
      </c>
      <c r="P183" s="38">
        <f>'Headcount_Opex_Build'!P8</f>
        <v/>
      </c>
      <c r="Q183" s="38">
        <f>'Headcount_Opex_Build'!Q8</f>
        <v/>
      </c>
      <c r="R183" s="38">
        <f>'Headcount_Opex_Build'!R8</f>
        <v/>
      </c>
      <c r="S183" s="25">
        <f>R183+Inputs_Scenarios!$F$19</f>
        <v/>
      </c>
      <c r="T183" s="25">
        <f>S183+Inputs_Scenarios!$F$19</f>
        <v/>
      </c>
      <c r="U183" s="25">
        <f>T183+Inputs_Scenarios!$F$19</f>
        <v/>
      </c>
      <c r="V183" s="25">
        <f>U183+Inputs_Scenarios!$F$19</f>
        <v/>
      </c>
    </row>
    <row r="184">
      <c r="A184" s="4" t="inlineStr">
        <is>
          <t>s6_cph_rnd</t>
        </is>
      </c>
      <c r="B184" s="24" t="inlineStr">
        <is>
          <t>RND spend per employee</t>
        </is>
      </c>
      <c r="C184" s="4" t="inlineStr"/>
      <c r="G184" s="34">
        <f>'Headcount_Opex_Build'!G11</f>
        <v/>
      </c>
      <c r="H184" s="34">
        <f>'Headcount_Opex_Build'!H11</f>
        <v/>
      </c>
      <c r="I184" s="34">
        <f>'Headcount_Opex_Build'!I11</f>
        <v/>
      </c>
      <c r="J184" s="34">
        <f>'Headcount_Opex_Build'!J11</f>
        <v/>
      </c>
      <c r="K184" s="34">
        <f>'Headcount_Opex_Build'!K11</f>
        <v/>
      </c>
      <c r="L184" s="34">
        <f>'Headcount_Opex_Build'!L11</f>
        <v/>
      </c>
      <c r="M184" s="34">
        <f>'Headcount_Opex_Build'!M11</f>
        <v/>
      </c>
      <c r="N184" s="34">
        <f>'Headcount_Opex_Build'!N11</f>
        <v/>
      </c>
      <c r="O184" s="34">
        <f>'Headcount_Opex_Build'!O11</f>
        <v/>
      </c>
      <c r="P184" s="34">
        <f>'Headcount_Opex_Build'!P11</f>
        <v/>
      </c>
      <c r="Q184" s="34">
        <f>'Headcount_Opex_Build'!Q11</f>
        <v/>
      </c>
      <c r="R184" s="34">
        <f>'Headcount_Opex_Build'!R11</f>
        <v/>
      </c>
      <c r="S184" s="35">
        <f>R184*(1+Inputs_Scenarios!$F$21)</f>
        <v/>
      </c>
      <c r="T184" s="35">
        <f>S184*(1+Inputs_Scenarios!$F$21)</f>
        <v/>
      </c>
      <c r="U184" s="35">
        <f>T184*(1+Inputs_Scenarios!$F$21)</f>
        <v/>
      </c>
      <c r="V184" s="35">
        <f>U184*(1+Inputs_Scenarios!$F$21)</f>
        <v/>
      </c>
    </row>
    <row r="185">
      <c r="A185" s="4" t="inlineStr">
        <is>
          <t>s6_cph_snm</t>
        </is>
      </c>
      <c r="B185" s="24" t="inlineStr">
        <is>
          <t>SNM spend per employee</t>
        </is>
      </c>
      <c r="C185" s="4" t="inlineStr"/>
      <c r="G185" s="34">
        <f>'Headcount_Opex_Build'!G13</f>
        <v/>
      </c>
      <c r="H185" s="34">
        <f>'Headcount_Opex_Build'!H13</f>
        <v/>
      </c>
      <c r="I185" s="34">
        <f>'Headcount_Opex_Build'!I13</f>
        <v/>
      </c>
      <c r="J185" s="34">
        <f>'Headcount_Opex_Build'!J13</f>
        <v/>
      </c>
      <c r="K185" s="34">
        <f>'Headcount_Opex_Build'!K13</f>
        <v/>
      </c>
      <c r="L185" s="34">
        <f>'Headcount_Opex_Build'!L13</f>
        <v/>
      </c>
      <c r="M185" s="34">
        <f>'Headcount_Opex_Build'!M13</f>
        <v/>
      </c>
      <c r="N185" s="34">
        <f>'Headcount_Opex_Build'!N13</f>
        <v/>
      </c>
      <c r="O185" s="34">
        <f>'Headcount_Opex_Build'!O13</f>
        <v/>
      </c>
      <c r="P185" s="34">
        <f>'Headcount_Opex_Build'!P13</f>
        <v/>
      </c>
      <c r="Q185" s="34">
        <f>'Headcount_Opex_Build'!Q13</f>
        <v/>
      </c>
      <c r="R185" s="34">
        <f>'Headcount_Opex_Build'!R13</f>
        <v/>
      </c>
      <c r="S185" s="35">
        <f>R185*(1+Inputs_Scenarios!$F$23)</f>
        <v/>
      </c>
      <c r="T185" s="35">
        <f>S185*(1+Inputs_Scenarios!$F$23)</f>
        <v/>
      </c>
      <c r="U185" s="35">
        <f>T185*(1+Inputs_Scenarios!$F$23)</f>
        <v/>
      </c>
      <c r="V185" s="35">
        <f>U185*(1+Inputs_Scenarios!$F$23)</f>
        <v/>
      </c>
    </row>
    <row r="186">
      <c r="A186" s="4" t="inlineStr">
        <is>
          <t>s6_cph_gna</t>
        </is>
      </c>
      <c r="B186" s="24" t="inlineStr">
        <is>
          <t>GNA spend per employee</t>
        </is>
      </c>
      <c r="C186" s="4" t="inlineStr"/>
      <c r="G186" s="34">
        <f>'Headcount_Opex_Build'!G15</f>
        <v/>
      </c>
      <c r="H186" s="34">
        <f>'Headcount_Opex_Build'!H15</f>
        <v/>
      </c>
      <c r="I186" s="34">
        <f>'Headcount_Opex_Build'!I15</f>
        <v/>
      </c>
      <c r="J186" s="34">
        <f>'Headcount_Opex_Build'!J15</f>
        <v/>
      </c>
      <c r="K186" s="34">
        <f>'Headcount_Opex_Build'!K15</f>
        <v/>
      </c>
      <c r="L186" s="34">
        <f>'Headcount_Opex_Build'!L15</f>
        <v/>
      </c>
      <c r="M186" s="34">
        <f>'Headcount_Opex_Build'!M15</f>
        <v/>
      </c>
      <c r="N186" s="34">
        <f>'Headcount_Opex_Build'!N15</f>
        <v/>
      </c>
      <c r="O186" s="34">
        <f>'Headcount_Opex_Build'!O15</f>
        <v/>
      </c>
      <c r="P186" s="34">
        <f>'Headcount_Opex_Build'!P15</f>
        <v/>
      </c>
      <c r="Q186" s="34">
        <f>'Headcount_Opex_Build'!Q15</f>
        <v/>
      </c>
      <c r="R186" s="34">
        <f>'Headcount_Opex_Build'!R15</f>
        <v/>
      </c>
      <c r="S186" s="35">
        <f>R186*(1+Inputs_Scenarios!$F$25)</f>
        <v/>
      </c>
      <c r="T186" s="35">
        <f>S186*(1+Inputs_Scenarios!$F$25)</f>
        <v/>
      </c>
      <c r="U186" s="35">
        <f>T186*(1+Inputs_Scenarios!$F$25)</f>
        <v/>
      </c>
      <c r="V186" s="35">
        <f>U186*(1+Inputs_Scenarios!$F$25)</f>
        <v/>
      </c>
    </row>
    <row r="187">
      <c r="A187" s="4" t="inlineStr">
        <is>
          <t>s6_ng_opex</t>
        </is>
      </c>
      <c r="B187" s="24" t="inlineStr">
        <is>
          <t>Non-GAAP operating expenses</t>
        </is>
      </c>
      <c r="C187" s="4" t="inlineStr"/>
      <c r="S187" s="27">
        <f>S183*(S184+S185+S186)</f>
        <v/>
      </c>
      <c r="T187" s="27">
        <f>T183*(T184+T185+T186)</f>
        <v/>
      </c>
      <c r="U187" s="27">
        <f>U183*(U184+U185+U186)</f>
        <v/>
      </c>
      <c r="V187" s="27">
        <f>V183*(V184+V185+V186)</f>
        <v/>
      </c>
    </row>
    <row r="188">
      <c r="A188" s="4" t="inlineStr">
        <is>
          <t>s6_amort</t>
        </is>
      </c>
      <c r="B188" s="24" t="inlineStr">
        <is>
          <t>Amortization</t>
        </is>
      </c>
      <c r="C188" s="4" t="inlineStr"/>
      <c r="S188" s="27">
        <f>Inputs_Scenarios!$F$20</f>
        <v/>
      </c>
      <c r="T188" s="27">
        <f>Inputs_Scenarios!$F$20</f>
        <v/>
      </c>
      <c r="U188" s="27">
        <f>Inputs_Scenarios!$F$20</f>
        <v/>
      </c>
      <c r="V188" s="27">
        <f>Inputs_Scenarios!$F$20</f>
        <v/>
      </c>
    </row>
    <row r="189">
      <c r="A189" s="4" t="inlineStr">
        <is>
          <t>s6_ng_op</t>
        </is>
      </c>
      <c r="B189" s="2" t="inlineStr">
        <is>
          <t>Non-GAAP operating income</t>
        </is>
      </c>
      <c r="C189" s="4" t="inlineStr"/>
      <c r="S189" s="29">
        <f>S182-S187+S188</f>
        <v/>
      </c>
      <c r="T189" s="29">
        <f>T182-T187+T188</f>
        <v/>
      </c>
      <c r="U189" s="29">
        <f>U182-U187+U188</f>
        <v/>
      </c>
      <c r="V189" s="29">
        <f>V182-V187+V188</f>
        <v/>
      </c>
    </row>
    <row r="190">
      <c r="A190" s="4" t="inlineStr">
        <is>
          <t>s6_fcf</t>
        </is>
      </c>
      <c r="B190" s="2" t="inlineStr">
        <is>
          <t>Free cash flow</t>
        </is>
      </c>
      <c r="C190" s="4" t="inlineStr"/>
      <c r="S190" s="29">
        <f>S189*INDEX(Inputs_Scenarios!$F$29:$F$32,S6)</f>
        <v/>
      </c>
      <c r="T190" s="29">
        <f>T189*INDEX(Inputs_Scenarios!$F$29:$F$32,T6)</f>
        <v/>
      </c>
      <c r="U190" s="29">
        <f>U189*INDEX(Inputs_Scenarios!$F$29:$F$32,U6)</f>
        <v/>
      </c>
      <c r="V190" s="29">
        <f>V189*INDEX(Inputs_Scenarios!$F$29:$F$32,V6)</f>
        <v/>
      </c>
    </row>
    <row r="191">
      <c r="A191" s="4" t="inlineStr">
        <is>
          <t>s7_h</t>
        </is>
      </c>
      <c r="B191" s="2" t="inlineStr">
        <is>
          <t>Step 7: plan with actual expansion of existing customers (nrr / usage), new-logo volume, arr per new logo, enterprise advanced mix / timing, services, gross margin rate, headcount pace</t>
        </is>
      </c>
      <c r="C191" s="4" t="inlineStr"/>
    </row>
    <row r="192">
      <c r="A192" s="4" t="inlineStr">
        <is>
          <t>s7_g</t>
        </is>
      </c>
      <c r="B192" s="24" t="inlineStr">
        <is>
          <t>Quarterly net expansion</t>
        </is>
      </c>
      <c r="C192" s="4" t="inlineStr"/>
      <c r="S192" s="43">
        <f>S43</f>
        <v/>
      </c>
      <c r="T192" s="43">
        <f>T43</f>
        <v/>
      </c>
      <c r="U192" s="43">
        <f>U43</f>
        <v/>
      </c>
      <c r="V192" s="43">
        <f>V43</f>
        <v/>
      </c>
    </row>
    <row r="193">
      <c r="A193" s="4" t="inlineStr">
        <is>
          <t>s7_nl</t>
        </is>
      </c>
      <c r="B193" s="24" t="inlineStr">
        <is>
          <t>Gross new logos</t>
        </is>
      </c>
      <c r="C193" s="4" t="inlineStr"/>
      <c r="S193" s="25">
        <f>S44</f>
        <v/>
      </c>
      <c r="T193" s="25">
        <f>T44</f>
        <v/>
      </c>
      <c r="U193" s="25">
        <f>U44</f>
        <v/>
      </c>
      <c r="V193" s="25">
        <f>V44</f>
        <v/>
      </c>
    </row>
    <row r="194">
      <c r="A194" s="4" t="inlineStr">
        <is>
          <t>s7_arpl</t>
        </is>
      </c>
      <c r="B194" s="24" t="inlineStr">
        <is>
          <t>ARR per new logo</t>
        </is>
      </c>
      <c r="C194" s="4" t="inlineStr"/>
      <c r="S194" s="35">
        <f>S45</f>
        <v/>
      </c>
      <c r="T194" s="35">
        <f>T45</f>
        <v/>
      </c>
      <c r="U194" s="35">
        <f>U45</f>
        <v/>
      </c>
      <c r="V194" s="35">
        <f>V45</f>
        <v/>
      </c>
    </row>
    <row r="195">
      <c r="A195" s="4" t="inlineStr">
        <is>
          <t>s7_arr</t>
        </is>
      </c>
      <c r="B195" s="24" t="inlineStr">
        <is>
          <t>ARR proxy</t>
        </is>
      </c>
      <c r="C195" s="4" t="inlineStr"/>
      <c r="G195" s="26">
        <f>'Cohort_ARR_Build'!G15</f>
        <v/>
      </c>
      <c r="H195" s="26">
        <f>'Cohort_ARR_Build'!H15</f>
        <v/>
      </c>
      <c r="I195" s="26">
        <f>'Cohort_ARR_Build'!I15</f>
        <v/>
      </c>
      <c r="J195" s="26">
        <f>'Cohort_ARR_Build'!J15</f>
        <v/>
      </c>
      <c r="K195" s="26">
        <f>'Cohort_ARR_Build'!K15</f>
        <v/>
      </c>
      <c r="L195" s="26">
        <f>'Cohort_ARR_Build'!L15</f>
        <v/>
      </c>
      <c r="M195" s="26">
        <f>'Cohort_ARR_Build'!M15</f>
        <v/>
      </c>
      <c r="N195" s="26">
        <f>'Cohort_ARR_Build'!N15</f>
        <v/>
      </c>
      <c r="O195" s="26">
        <f>'Cohort_ARR_Build'!O15</f>
        <v/>
      </c>
      <c r="P195" s="26">
        <f>'Cohort_ARR_Build'!P15</f>
        <v/>
      </c>
      <c r="Q195" s="26">
        <f>'Cohort_ARR_Build'!Q15</f>
        <v/>
      </c>
      <c r="R195" s="26">
        <f>'Cohort_ARR_Build'!R15</f>
        <v/>
      </c>
      <c r="S195" s="27">
        <f>R195*(1+S192)+S193*S194</f>
        <v/>
      </c>
      <c r="T195" s="27">
        <f>S195*(1+T192)+T193*T194</f>
        <v/>
      </c>
      <c r="U195" s="27">
        <f>T195*(1+U192)+U193*U194</f>
        <v/>
      </c>
      <c r="V195" s="27">
        <f>U195*(1+V192)+V193*V194</f>
        <v/>
      </c>
    </row>
    <row r="196">
      <c r="A196" s="4" t="inlineStr">
        <is>
          <t>s7_ea</t>
        </is>
      </c>
      <c r="B196" s="24" t="inlineStr">
        <is>
          <t>EA revenue</t>
        </is>
      </c>
      <c r="C196" s="4" t="inlineStr"/>
      <c r="D196" s="26">
        <f>'Operating_Model'!D9</f>
        <v/>
      </c>
      <c r="E196" s="26">
        <f>'Operating_Model'!E9</f>
        <v/>
      </c>
      <c r="F196" s="26">
        <f>'Operating_Model'!F9</f>
        <v/>
      </c>
      <c r="G196" s="26">
        <f>'Operating_Model'!G9</f>
        <v/>
      </c>
      <c r="H196" s="26">
        <f>'Operating_Model'!H9</f>
        <v/>
      </c>
      <c r="I196" s="26">
        <f>'Operating_Model'!I9</f>
        <v/>
      </c>
      <c r="J196" s="26">
        <f>'Operating_Model'!J9</f>
        <v/>
      </c>
      <c r="K196" s="26">
        <f>'Operating_Model'!K9</f>
        <v/>
      </c>
      <c r="L196" s="26">
        <f>'Operating_Model'!L9</f>
        <v/>
      </c>
      <c r="M196" s="26">
        <f>'Operating_Model'!M9</f>
        <v/>
      </c>
      <c r="N196" s="26">
        <f>'Operating_Model'!N9</f>
        <v/>
      </c>
      <c r="O196" s="26">
        <f>'Operating_Model'!O9</f>
        <v/>
      </c>
      <c r="P196" s="26">
        <f>'Operating_Model'!P9</f>
        <v/>
      </c>
      <c r="Q196" s="26">
        <f>'Operating_Model'!Q9</f>
        <v/>
      </c>
      <c r="R196" s="26">
        <f>'Operating_Model'!R9</f>
        <v/>
      </c>
      <c r="S196" s="27">
        <f>O196*(1+S46)</f>
        <v/>
      </c>
      <c r="T196" s="27">
        <f>P196*(1+T46)</f>
        <v/>
      </c>
      <c r="U196" s="27">
        <f>Q196*(1+U46)</f>
        <v/>
      </c>
      <c r="V196" s="27">
        <f>R196*(1+V46)</f>
        <v/>
      </c>
    </row>
    <row r="197">
      <c r="A197" s="4" t="inlineStr">
        <is>
          <t>s7_ea_ttm</t>
        </is>
      </c>
      <c r="B197" s="24" t="inlineStr">
        <is>
          <t>EA trailing 4Q</t>
        </is>
      </c>
      <c r="C197" s="4" t="inlineStr"/>
      <c r="S197" s="27">
        <f>SUM(P196:S196)</f>
        <v/>
      </c>
      <c r="T197" s="27">
        <f>SUM(Q196:T196)</f>
        <v/>
      </c>
      <c r="U197" s="27">
        <f>SUM(R196:U196)</f>
        <v/>
      </c>
      <c r="V197" s="27">
        <f>SUM(S196:V196)</f>
        <v/>
      </c>
    </row>
    <row r="198">
      <c r="A198" s="4" t="inlineStr">
        <is>
          <t>s7_atlas</t>
        </is>
      </c>
      <c r="B198" s="24" t="inlineStr">
        <is>
          <t>Atlas revenue</t>
        </is>
      </c>
      <c r="C198" s="4" t="inlineStr"/>
      <c r="S198" s="27">
        <f>(S195-S197)*S5/Inputs_Scenarios!$C$5</f>
        <v/>
      </c>
      <c r="T198" s="27">
        <f>(T195-T197)*T5/Inputs_Scenarios!$C$5</f>
        <v/>
      </c>
      <c r="U198" s="27">
        <f>(U195-U197)*U5/Inputs_Scenarios!$C$5</f>
        <v/>
      </c>
      <c r="V198" s="27">
        <f>(V195-V197)*V5/Inputs_Scenarios!$C$5</f>
        <v/>
      </c>
    </row>
    <row r="199">
      <c r="A199" s="4" t="inlineStr">
        <is>
          <t>s7_svc</t>
        </is>
      </c>
      <c r="B199" s="24" t="inlineStr">
        <is>
          <t>Services revenue</t>
        </is>
      </c>
      <c r="C199" s="4" t="inlineStr"/>
      <c r="D199" s="26">
        <f>'Operating_Model'!D11</f>
        <v/>
      </c>
      <c r="E199" s="26">
        <f>'Operating_Model'!E11</f>
        <v/>
      </c>
      <c r="F199" s="26">
        <f>'Operating_Model'!F11</f>
        <v/>
      </c>
      <c r="G199" s="26">
        <f>'Operating_Model'!G11</f>
        <v/>
      </c>
      <c r="H199" s="26">
        <f>'Operating_Model'!H11</f>
        <v/>
      </c>
      <c r="I199" s="26">
        <f>'Operating_Model'!I11</f>
        <v/>
      </c>
      <c r="J199" s="26">
        <f>'Operating_Model'!J11</f>
        <v/>
      </c>
      <c r="K199" s="26">
        <f>'Operating_Model'!K11</f>
        <v/>
      </c>
      <c r="L199" s="26">
        <f>'Operating_Model'!L11</f>
        <v/>
      </c>
      <c r="M199" s="26">
        <f>'Operating_Model'!M11</f>
        <v/>
      </c>
      <c r="N199" s="26">
        <f>'Operating_Model'!N11</f>
        <v/>
      </c>
      <c r="O199" s="26">
        <f>'Operating_Model'!O11</f>
        <v/>
      </c>
      <c r="P199" s="26">
        <f>'Operating_Model'!P11</f>
        <v/>
      </c>
      <c r="Q199" s="26">
        <f>'Operating_Model'!Q11</f>
        <v/>
      </c>
      <c r="R199" s="26">
        <f>'Operating_Model'!R11</f>
        <v/>
      </c>
      <c r="S199" s="27">
        <f>O199*(1+S47)</f>
        <v/>
      </c>
      <c r="T199" s="27">
        <f>P199*(1+T47)</f>
        <v/>
      </c>
      <c r="U199" s="27">
        <f>Q199*(1+U47)</f>
        <v/>
      </c>
      <c r="V199" s="27">
        <f>R199*(1+V47)</f>
        <v/>
      </c>
    </row>
    <row r="200">
      <c r="A200" s="4" t="inlineStr">
        <is>
          <t>s7_sub</t>
        </is>
      </c>
      <c r="B200" s="24" t="inlineStr">
        <is>
          <t>Subscription revenue</t>
        </is>
      </c>
      <c r="C200" s="4" t="inlineStr"/>
      <c r="S200" s="27">
        <f>S198+S196</f>
        <v/>
      </c>
      <c r="T200" s="27">
        <f>T198+T196</f>
        <v/>
      </c>
      <c r="U200" s="27">
        <f>U198+U196</f>
        <v/>
      </c>
      <c r="V200" s="27">
        <f>V198+V196</f>
        <v/>
      </c>
    </row>
    <row r="201">
      <c r="A201" s="4" t="inlineStr">
        <is>
          <t>s7_revenue</t>
        </is>
      </c>
      <c r="B201" s="2" t="inlineStr">
        <is>
          <t>Total revenue</t>
        </is>
      </c>
      <c r="C201" s="4" t="inlineStr"/>
      <c r="S201" s="29">
        <f>S200+S199</f>
        <v/>
      </c>
      <c r="T201" s="29">
        <f>T200+T199</f>
        <v/>
      </c>
      <c r="U201" s="29">
        <f>U200+U199</f>
        <v/>
      </c>
      <c r="V201" s="29">
        <f>V200+V199</f>
        <v/>
      </c>
    </row>
    <row r="202">
      <c r="A202" s="4" t="inlineStr">
        <is>
          <t>s7_ng_gp</t>
        </is>
      </c>
      <c r="B202" s="24" t="inlineStr">
        <is>
          <t>Non-GAAP gross profit</t>
        </is>
      </c>
      <c r="C202" s="4" t="inlineStr"/>
      <c r="S202" s="27">
        <f>S201-S200*(1-S48)-S199*(1-S49)+S201*(S50)</f>
        <v/>
      </c>
      <c r="T202" s="27">
        <f>T201-T200*(1-T48)-T199*(1-T49)+T201*(T50)</f>
        <v/>
      </c>
      <c r="U202" s="27">
        <f>U201-U200*(1-U48)-U199*(1-U49)+U201*(U50)</f>
        <v/>
      </c>
      <c r="V202" s="27">
        <f>V201-V200*(1-V48)-V199*(1-V49)+V201*(V50)</f>
        <v/>
      </c>
    </row>
    <row r="203">
      <c r="A203" s="4" t="inlineStr">
        <is>
          <t>s7_hc</t>
        </is>
      </c>
      <c r="B203" s="24" t="inlineStr">
        <is>
          <t>Employees</t>
        </is>
      </c>
      <c r="C203" s="4" t="inlineStr"/>
      <c r="G203" s="38">
        <f>'Headcount_Opex_Build'!G8</f>
        <v/>
      </c>
      <c r="H203" s="38">
        <f>'Headcount_Opex_Build'!H8</f>
        <v/>
      </c>
      <c r="I203" s="38">
        <f>'Headcount_Opex_Build'!I8</f>
        <v/>
      </c>
      <c r="J203" s="38">
        <f>'Headcount_Opex_Build'!J8</f>
        <v/>
      </c>
      <c r="K203" s="38">
        <f>'Headcount_Opex_Build'!K8</f>
        <v/>
      </c>
      <c r="L203" s="38">
        <f>'Headcount_Opex_Build'!L8</f>
        <v/>
      </c>
      <c r="M203" s="38">
        <f>'Headcount_Opex_Build'!M8</f>
        <v/>
      </c>
      <c r="N203" s="38">
        <f>'Headcount_Opex_Build'!N8</f>
        <v/>
      </c>
      <c r="O203" s="38">
        <f>'Headcount_Opex_Build'!O8</f>
        <v/>
      </c>
      <c r="P203" s="38">
        <f>'Headcount_Opex_Build'!P8</f>
        <v/>
      </c>
      <c r="Q203" s="38">
        <f>'Headcount_Opex_Build'!Q8</f>
        <v/>
      </c>
      <c r="R203" s="38">
        <f>'Headcount_Opex_Build'!R8</f>
        <v/>
      </c>
      <c r="S203" s="25">
        <f>S27</f>
        <v/>
      </c>
      <c r="T203" s="25">
        <f>T27</f>
        <v/>
      </c>
      <c r="U203" s="25">
        <f>U27</f>
        <v/>
      </c>
      <c r="V203" s="25">
        <f>V27</f>
        <v/>
      </c>
    </row>
    <row r="204">
      <c r="A204" s="4" t="inlineStr">
        <is>
          <t>s7_cph_rnd</t>
        </is>
      </c>
      <c r="B204" s="24" t="inlineStr">
        <is>
          <t>RND spend per employee</t>
        </is>
      </c>
      <c r="C204" s="4" t="inlineStr"/>
      <c r="G204" s="34">
        <f>'Headcount_Opex_Build'!G11</f>
        <v/>
      </c>
      <c r="H204" s="34">
        <f>'Headcount_Opex_Build'!H11</f>
        <v/>
      </c>
      <c r="I204" s="34">
        <f>'Headcount_Opex_Build'!I11</f>
        <v/>
      </c>
      <c r="J204" s="34">
        <f>'Headcount_Opex_Build'!J11</f>
        <v/>
      </c>
      <c r="K204" s="34">
        <f>'Headcount_Opex_Build'!K11</f>
        <v/>
      </c>
      <c r="L204" s="34">
        <f>'Headcount_Opex_Build'!L11</f>
        <v/>
      </c>
      <c r="M204" s="34">
        <f>'Headcount_Opex_Build'!M11</f>
        <v/>
      </c>
      <c r="N204" s="34">
        <f>'Headcount_Opex_Build'!N11</f>
        <v/>
      </c>
      <c r="O204" s="34">
        <f>'Headcount_Opex_Build'!O11</f>
        <v/>
      </c>
      <c r="P204" s="34">
        <f>'Headcount_Opex_Build'!P11</f>
        <v/>
      </c>
      <c r="Q204" s="34">
        <f>'Headcount_Opex_Build'!Q11</f>
        <v/>
      </c>
      <c r="R204" s="34">
        <f>'Headcount_Opex_Build'!R11</f>
        <v/>
      </c>
      <c r="S204" s="35">
        <f>R204*(1+Inputs_Scenarios!$F$21)</f>
        <v/>
      </c>
      <c r="T204" s="35">
        <f>S204*(1+Inputs_Scenarios!$F$21)</f>
        <v/>
      </c>
      <c r="U204" s="35">
        <f>T204*(1+Inputs_Scenarios!$F$21)</f>
        <v/>
      </c>
      <c r="V204" s="35">
        <f>U204*(1+Inputs_Scenarios!$F$21)</f>
        <v/>
      </c>
    </row>
    <row r="205">
      <c r="A205" s="4" t="inlineStr">
        <is>
          <t>s7_cph_snm</t>
        </is>
      </c>
      <c r="B205" s="24" t="inlineStr">
        <is>
          <t>SNM spend per employee</t>
        </is>
      </c>
      <c r="C205" s="4" t="inlineStr"/>
      <c r="G205" s="34">
        <f>'Headcount_Opex_Build'!G13</f>
        <v/>
      </c>
      <c r="H205" s="34">
        <f>'Headcount_Opex_Build'!H13</f>
        <v/>
      </c>
      <c r="I205" s="34">
        <f>'Headcount_Opex_Build'!I13</f>
        <v/>
      </c>
      <c r="J205" s="34">
        <f>'Headcount_Opex_Build'!J13</f>
        <v/>
      </c>
      <c r="K205" s="34">
        <f>'Headcount_Opex_Build'!K13</f>
        <v/>
      </c>
      <c r="L205" s="34">
        <f>'Headcount_Opex_Build'!L13</f>
        <v/>
      </c>
      <c r="M205" s="34">
        <f>'Headcount_Opex_Build'!M13</f>
        <v/>
      </c>
      <c r="N205" s="34">
        <f>'Headcount_Opex_Build'!N13</f>
        <v/>
      </c>
      <c r="O205" s="34">
        <f>'Headcount_Opex_Build'!O13</f>
        <v/>
      </c>
      <c r="P205" s="34">
        <f>'Headcount_Opex_Build'!P13</f>
        <v/>
      </c>
      <c r="Q205" s="34">
        <f>'Headcount_Opex_Build'!Q13</f>
        <v/>
      </c>
      <c r="R205" s="34">
        <f>'Headcount_Opex_Build'!R13</f>
        <v/>
      </c>
      <c r="S205" s="35">
        <f>R205*(1+Inputs_Scenarios!$F$23)</f>
        <v/>
      </c>
      <c r="T205" s="35">
        <f>S205*(1+Inputs_Scenarios!$F$23)</f>
        <v/>
      </c>
      <c r="U205" s="35">
        <f>T205*(1+Inputs_Scenarios!$F$23)</f>
        <v/>
      </c>
      <c r="V205" s="35">
        <f>U205*(1+Inputs_Scenarios!$F$23)</f>
        <v/>
      </c>
    </row>
    <row r="206">
      <c r="A206" s="4" t="inlineStr">
        <is>
          <t>s7_cph_gna</t>
        </is>
      </c>
      <c r="B206" s="24" t="inlineStr">
        <is>
          <t>GNA spend per employee</t>
        </is>
      </c>
      <c r="C206" s="4" t="inlineStr"/>
      <c r="G206" s="34">
        <f>'Headcount_Opex_Build'!G15</f>
        <v/>
      </c>
      <c r="H206" s="34">
        <f>'Headcount_Opex_Build'!H15</f>
        <v/>
      </c>
      <c r="I206" s="34">
        <f>'Headcount_Opex_Build'!I15</f>
        <v/>
      </c>
      <c r="J206" s="34">
        <f>'Headcount_Opex_Build'!J15</f>
        <v/>
      </c>
      <c r="K206" s="34">
        <f>'Headcount_Opex_Build'!K15</f>
        <v/>
      </c>
      <c r="L206" s="34">
        <f>'Headcount_Opex_Build'!L15</f>
        <v/>
      </c>
      <c r="M206" s="34">
        <f>'Headcount_Opex_Build'!M15</f>
        <v/>
      </c>
      <c r="N206" s="34">
        <f>'Headcount_Opex_Build'!N15</f>
        <v/>
      </c>
      <c r="O206" s="34">
        <f>'Headcount_Opex_Build'!O15</f>
        <v/>
      </c>
      <c r="P206" s="34">
        <f>'Headcount_Opex_Build'!P15</f>
        <v/>
      </c>
      <c r="Q206" s="34">
        <f>'Headcount_Opex_Build'!Q15</f>
        <v/>
      </c>
      <c r="R206" s="34">
        <f>'Headcount_Opex_Build'!R15</f>
        <v/>
      </c>
      <c r="S206" s="35">
        <f>R206*(1+Inputs_Scenarios!$F$25)</f>
        <v/>
      </c>
      <c r="T206" s="35">
        <f>S206*(1+Inputs_Scenarios!$F$25)</f>
        <v/>
      </c>
      <c r="U206" s="35">
        <f>T206*(1+Inputs_Scenarios!$F$25)</f>
        <v/>
      </c>
      <c r="V206" s="35">
        <f>U206*(1+Inputs_Scenarios!$F$25)</f>
        <v/>
      </c>
    </row>
    <row r="207">
      <c r="A207" s="4" t="inlineStr">
        <is>
          <t>s7_ng_opex</t>
        </is>
      </c>
      <c r="B207" s="24" t="inlineStr">
        <is>
          <t>Non-GAAP operating expenses</t>
        </is>
      </c>
      <c r="C207" s="4" t="inlineStr"/>
      <c r="S207" s="27">
        <f>S203*(S204+S205+S206)</f>
        <v/>
      </c>
      <c r="T207" s="27">
        <f>T203*(T204+T205+T206)</f>
        <v/>
      </c>
      <c r="U207" s="27">
        <f>U203*(U204+U205+U206)</f>
        <v/>
      </c>
      <c r="V207" s="27">
        <f>V203*(V204+V205+V206)</f>
        <v/>
      </c>
    </row>
    <row r="208">
      <c r="A208" s="4" t="inlineStr">
        <is>
          <t>s7_amort</t>
        </is>
      </c>
      <c r="B208" s="24" t="inlineStr">
        <is>
          <t>Amortization</t>
        </is>
      </c>
      <c r="C208" s="4" t="inlineStr"/>
      <c r="S208" s="27">
        <f>Inputs_Scenarios!$F$20</f>
        <v/>
      </c>
      <c r="T208" s="27">
        <f>Inputs_Scenarios!$F$20</f>
        <v/>
      </c>
      <c r="U208" s="27">
        <f>Inputs_Scenarios!$F$20</f>
        <v/>
      </c>
      <c r="V208" s="27">
        <f>Inputs_Scenarios!$F$20</f>
        <v/>
      </c>
    </row>
    <row r="209">
      <c r="A209" s="4" t="inlineStr">
        <is>
          <t>s7_ng_op</t>
        </is>
      </c>
      <c r="B209" s="2" t="inlineStr">
        <is>
          <t>Non-GAAP operating income</t>
        </is>
      </c>
      <c r="C209" s="4" t="inlineStr"/>
      <c r="S209" s="29">
        <f>S202-S207+S208</f>
        <v/>
      </c>
      <c r="T209" s="29">
        <f>T202-T207+T208</f>
        <v/>
      </c>
      <c r="U209" s="29">
        <f>U202-U207+U208</f>
        <v/>
      </c>
      <c r="V209" s="29">
        <f>V202-V207+V208</f>
        <v/>
      </c>
    </row>
    <row r="210">
      <c r="A210" s="4" t="inlineStr">
        <is>
          <t>s7_fcf</t>
        </is>
      </c>
      <c r="B210" s="2" t="inlineStr">
        <is>
          <t>Free cash flow</t>
        </is>
      </c>
      <c r="C210" s="4" t="inlineStr"/>
      <c r="S210" s="29">
        <f>S209*INDEX(Inputs_Scenarios!$F$29:$F$32,S6)</f>
        <v/>
      </c>
      <c r="T210" s="29">
        <f>T209*INDEX(Inputs_Scenarios!$F$29:$F$32,T6)</f>
        <v/>
      </c>
      <c r="U210" s="29">
        <f>U209*INDEX(Inputs_Scenarios!$F$29:$F$32,U6)</f>
        <v/>
      </c>
      <c r="V210" s="29">
        <f>V209*INDEX(Inputs_Scenarios!$F$29:$F$32,V6)</f>
        <v/>
      </c>
    </row>
    <row r="211">
      <c r="A211" s="4" t="inlineStr">
        <is>
          <t>s8_h</t>
        </is>
      </c>
      <c r="B211" s="2" t="inlineStr">
        <is>
          <t>Step 8: plan with actual expansion of existing customers (nrr / usage), new-logo volume, arr per new logo, enterprise advanced mix / timing, services, gross margin rate, headcount pace, cost per head</t>
        </is>
      </c>
      <c r="C211" s="4" t="inlineStr"/>
    </row>
    <row r="212">
      <c r="A212" s="4" t="inlineStr">
        <is>
          <t>s8_g</t>
        </is>
      </c>
      <c r="B212" s="24" t="inlineStr">
        <is>
          <t>Quarterly net expansion</t>
        </is>
      </c>
      <c r="C212" s="4" t="inlineStr"/>
      <c r="S212" s="43">
        <f>S43</f>
        <v/>
      </c>
      <c r="T212" s="43">
        <f>T43</f>
        <v/>
      </c>
      <c r="U212" s="43">
        <f>U43</f>
        <v/>
      </c>
      <c r="V212" s="43">
        <f>V43</f>
        <v/>
      </c>
    </row>
    <row r="213">
      <c r="A213" s="4" t="inlineStr">
        <is>
          <t>s8_nl</t>
        </is>
      </c>
      <c r="B213" s="24" t="inlineStr">
        <is>
          <t>Gross new logos</t>
        </is>
      </c>
      <c r="C213" s="4" t="inlineStr"/>
      <c r="S213" s="25">
        <f>S44</f>
        <v/>
      </c>
      <c r="T213" s="25">
        <f>T44</f>
        <v/>
      </c>
      <c r="U213" s="25">
        <f>U44</f>
        <v/>
      </c>
      <c r="V213" s="25">
        <f>V44</f>
        <v/>
      </c>
    </row>
    <row r="214">
      <c r="A214" s="4" t="inlineStr">
        <is>
          <t>s8_arpl</t>
        </is>
      </c>
      <c r="B214" s="24" t="inlineStr">
        <is>
          <t>ARR per new logo</t>
        </is>
      </c>
      <c r="C214" s="4" t="inlineStr"/>
      <c r="S214" s="35">
        <f>S45</f>
        <v/>
      </c>
      <c r="T214" s="35">
        <f>T45</f>
        <v/>
      </c>
      <c r="U214" s="35">
        <f>U45</f>
        <v/>
      </c>
      <c r="V214" s="35">
        <f>V45</f>
        <v/>
      </c>
    </row>
    <row r="215">
      <c r="A215" s="4" t="inlineStr">
        <is>
          <t>s8_arr</t>
        </is>
      </c>
      <c r="B215" s="24" t="inlineStr">
        <is>
          <t>ARR proxy</t>
        </is>
      </c>
      <c r="C215" s="4" t="inlineStr"/>
      <c r="G215" s="26">
        <f>'Cohort_ARR_Build'!G15</f>
        <v/>
      </c>
      <c r="H215" s="26">
        <f>'Cohort_ARR_Build'!H15</f>
        <v/>
      </c>
      <c r="I215" s="26">
        <f>'Cohort_ARR_Build'!I15</f>
        <v/>
      </c>
      <c r="J215" s="26">
        <f>'Cohort_ARR_Build'!J15</f>
        <v/>
      </c>
      <c r="K215" s="26">
        <f>'Cohort_ARR_Build'!K15</f>
        <v/>
      </c>
      <c r="L215" s="26">
        <f>'Cohort_ARR_Build'!L15</f>
        <v/>
      </c>
      <c r="M215" s="26">
        <f>'Cohort_ARR_Build'!M15</f>
        <v/>
      </c>
      <c r="N215" s="26">
        <f>'Cohort_ARR_Build'!N15</f>
        <v/>
      </c>
      <c r="O215" s="26">
        <f>'Cohort_ARR_Build'!O15</f>
        <v/>
      </c>
      <c r="P215" s="26">
        <f>'Cohort_ARR_Build'!P15</f>
        <v/>
      </c>
      <c r="Q215" s="26">
        <f>'Cohort_ARR_Build'!Q15</f>
        <v/>
      </c>
      <c r="R215" s="26">
        <f>'Cohort_ARR_Build'!R15</f>
        <v/>
      </c>
      <c r="S215" s="27">
        <f>R215*(1+S212)+S213*S214</f>
        <v/>
      </c>
      <c r="T215" s="27">
        <f>S215*(1+T212)+T213*T214</f>
        <v/>
      </c>
      <c r="U215" s="27">
        <f>T215*(1+U212)+U213*U214</f>
        <v/>
      </c>
      <c r="V215" s="27">
        <f>U215*(1+V212)+V213*V214</f>
        <v/>
      </c>
    </row>
    <row r="216">
      <c r="A216" s="4" t="inlineStr">
        <is>
          <t>s8_ea</t>
        </is>
      </c>
      <c r="B216" s="24" t="inlineStr">
        <is>
          <t>EA revenue</t>
        </is>
      </c>
      <c r="C216" s="4" t="inlineStr"/>
      <c r="D216" s="26">
        <f>'Operating_Model'!D9</f>
        <v/>
      </c>
      <c r="E216" s="26">
        <f>'Operating_Model'!E9</f>
        <v/>
      </c>
      <c r="F216" s="26">
        <f>'Operating_Model'!F9</f>
        <v/>
      </c>
      <c r="G216" s="26">
        <f>'Operating_Model'!G9</f>
        <v/>
      </c>
      <c r="H216" s="26">
        <f>'Operating_Model'!H9</f>
        <v/>
      </c>
      <c r="I216" s="26">
        <f>'Operating_Model'!I9</f>
        <v/>
      </c>
      <c r="J216" s="26">
        <f>'Operating_Model'!J9</f>
        <v/>
      </c>
      <c r="K216" s="26">
        <f>'Operating_Model'!K9</f>
        <v/>
      </c>
      <c r="L216" s="26">
        <f>'Operating_Model'!L9</f>
        <v/>
      </c>
      <c r="M216" s="26">
        <f>'Operating_Model'!M9</f>
        <v/>
      </c>
      <c r="N216" s="26">
        <f>'Operating_Model'!N9</f>
        <v/>
      </c>
      <c r="O216" s="26">
        <f>'Operating_Model'!O9</f>
        <v/>
      </c>
      <c r="P216" s="26">
        <f>'Operating_Model'!P9</f>
        <v/>
      </c>
      <c r="Q216" s="26">
        <f>'Operating_Model'!Q9</f>
        <v/>
      </c>
      <c r="R216" s="26">
        <f>'Operating_Model'!R9</f>
        <v/>
      </c>
      <c r="S216" s="27">
        <f>O216*(1+S46)</f>
        <v/>
      </c>
      <c r="T216" s="27">
        <f>P216*(1+T46)</f>
        <v/>
      </c>
      <c r="U216" s="27">
        <f>Q216*(1+U46)</f>
        <v/>
      </c>
      <c r="V216" s="27">
        <f>R216*(1+V46)</f>
        <v/>
      </c>
    </row>
    <row r="217">
      <c r="A217" s="4" t="inlineStr">
        <is>
          <t>s8_ea_ttm</t>
        </is>
      </c>
      <c r="B217" s="24" t="inlineStr">
        <is>
          <t>EA trailing 4Q</t>
        </is>
      </c>
      <c r="C217" s="4" t="inlineStr"/>
      <c r="S217" s="27">
        <f>SUM(P216:S216)</f>
        <v/>
      </c>
      <c r="T217" s="27">
        <f>SUM(Q216:T216)</f>
        <v/>
      </c>
      <c r="U217" s="27">
        <f>SUM(R216:U216)</f>
        <v/>
      </c>
      <c r="V217" s="27">
        <f>SUM(S216:V216)</f>
        <v/>
      </c>
    </row>
    <row r="218">
      <c r="A218" s="4" t="inlineStr">
        <is>
          <t>s8_atlas</t>
        </is>
      </c>
      <c r="B218" s="24" t="inlineStr">
        <is>
          <t>Atlas revenue</t>
        </is>
      </c>
      <c r="C218" s="4" t="inlineStr"/>
      <c r="S218" s="27">
        <f>(S215-S217)*S5/Inputs_Scenarios!$C$5</f>
        <v/>
      </c>
      <c r="T218" s="27">
        <f>(T215-T217)*T5/Inputs_Scenarios!$C$5</f>
        <v/>
      </c>
      <c r="U218" s="27">
        <f>(U215-U217)*U5/Inputs_Scenarios!$C$5</f>
        <v/>
      </c>
      <c r="V218" s="27">
        <f>(V215-V217)*V5/Inputs_Scenarios!$C$5</f>
        <v/>
      </c>
    </row>
    <row r="219">
      <c r="A219" s="4" t="inlineStr">
        <is>
          <t>s8_svc</t>
        </is>
      </c>
      <c r="B219" s="24" t="inlineStr">
        <is>
          <t>Services revenue</t>
        </is>
      </c>
      <c r="C219" s="4" t="inlineStr"/>
      <c r="D219" s="26">
        <f>'Operating_Model'!D11</f>
        <v/>
      </c>
      <c r="E219" s="26">
        <f>'Operating_Model'!E11</f>
        <v/>
      </c>
      <c r="F219" s="26">
        <f>'Operating_Model'!F11</f>
        <v/>
      </c>
      <c r="G219" s="26">
        <f>'Operating_Model'!G11</f>
        <v/>
      </c>
      <c r="H219" s="26">
        <f>'Operating_Model'!H11</f>
        <v/>
      </c>
      <c r="I219" s="26">
        <f>'Operating_Model'!I11</f>
        <v/>
      </c>
      <c r="J219" s="26">
        <f>'Operating_Model'!J11</f>
        <v/>
      </c>
      <c r="K219" s="26">
        <f>'Operating_Model'!K11</f>
        <v/>
      </c>
      <c r="L219" s="26">
        <f>'Operating_Model'!L11</f>
        <v/>
      </c>
      <c r="M219" s="26">
        <f>'Operating_Model'!M11</f>
        <v/>
      </c>
      <c r="N219" s="26">
        <f>'Operating_Model'!N11</f>
        <v/>
      </c>
      <c r="O219" s="26">
        <f>'Operating_Model'!O11</f>
        <v/>
      </c>
      <c r="P219" s="26">
        <f>'Operating_Model'!P11</f>
        <v/>
      </c>
      <c r="Q219" s="26">
        <f>'Operating_Model'!Q11</f>
        <v/>
      </c>
      <c r="R219" s="26">
        <f>'Operating_Model'!R11</f>
        <v/>
      </c>
      <c r="S219" s="27">
        <f>O219*(1+S47)</f>
        <v/>
      </c>
      <c r="T219" s="27">
        <f>P219*(1+T47)</f>
        <v/>
      </c>
      <c r="U219" s="27">
        <f>Q219*(1+U47)</f>
        <v/>
      </c>
      <c r="V219" s="27">
        <f>R219*(1+V47)</f>
        <v/>
      </c>
    </row>
    <row r="220">
      <c r="A220" s="4" t="inlineStr">
        <is>
          <t>s8_sub</t>
        </is>
      </c>
      <c r="B220" s="24" t="inlineStr">
        <is>
          <t>Subscription revenue</t>
        </is>
      </c>
      <c r="C220" s="4" t="inlineStr"/>
      <c r="S220" s="27">
        <f>S218+S216</f>
        <v/>
      </c>
      <c r="T220" s="27">
        <f>T218+T216</f>
        <v/>
      </c>
      <c r="U220" s="27">
        <f>U218+U216</f>
        <v/>
      </c>
      <c r="V220" s="27">
        <f>V218+V216</f>
        <v/>
      </c>
    </row>
    <row r="221">
      <c r="A221" s="4" t="inlineStr">
        <is>
          <t>s8_revenue</t>
        </is>
      </c>
      <c r="B221" s="2" t="inlineStr">
        <is>
          <t>Total revenue</t>
        </is>
      </c>
      <c r="C221" s="4" t="inlineStr"/>
      <c r="S221" s="29">
        <f>S220+S219</f>
        <v/>
      </c>
      <c r="T221" s="29">
        <f>T220+T219</f>
        <v/>
      </c>
      <c r="U221" s="29">
        <f>U220+U219</f>
        <v/>
      </c>
      <c r="V221" s="29">
        <f>V220+V219</f>
        <v/>
      </c>
    </row>
    <row r="222">
      <c r="A222" s="4" t="inlineStr">
        <is>
          <t>s8_ng_gp</t>
        </is>
      </c>
      <c r="B222" s="24" t="inlineStr">
        <is>
          <t>Non-GAAP gross profit</t>
        </is>
      </c>
      <c r="C222" s="4" t="inlineStr"/>
      <c r="S222" s="27">
        <f>S221-S220*(1-S48)-S219*(1-S49)+S221*(S50)</f>
        <v/>
      </c>
      <c r="T222" s="27">
        <f>T221-T220*(1-T48)-T219*(1-T49)+T221*(T50)</f>
        <v/>
      </c>
      <c r="U222" s="27">
        <f>U221-U220*(1-U48)-U219*(1-U49)+U221*(U50)</f>
        <v/>
      </c>
      <c r="V222" s="27">
        <f>V221-V220*(1-V48)-V219*(1-V49)+V221*(V50)</f>
        <v/>
      </c>
    </row>
    <row r="223">
      <c r="A223" s="4" t="inlineStr">
        <is>
          <t>s8_hc</t>
        </is>
      </c>
      <c r="B223" s="24" t="inlineStr">
        <is>
          <t>Employees</t>
        </is>
      </c>
      <c r="C223" s="4" t="inlineStr"/>
      <c r="G223" s="38">
        <f>'Headcount_Opex_Build'!G8</f>
        <v/>
      </c>
      <c r="H223" s="38">
        <f>'Headcount_Opex_Build'!H8</f>
        <v/>
      </c>
      <c r="I223" s="38">
        <f>'Headcount_Opex_Build'!I8</f>
        <v/>
      </c>
      <c r="J223" s="38">
        <f>'Headcount_Opex_Build'!J8</f>
        <v/>
      </c>
      <c r="K223" s="38">
        <f>'Headcount_Opex_Build'!K8</f>
        <v/>
      </c>
      <c r="L223" s="38">
        <f>'Headcount_Opex_Build'!L8</f>
        <v/>
      </c>
      <c r="M223" s="38">
        <f>'Headcount_Opex_Build'!M8</f>
        <v/>
      </c>
      <c r="N223" s="38">
        <f>'Headcount_Opex_Build'!N8</f>
        <v/>
      </c>
      <c r="O223" s="38">
        <f>'Headcount_Opex_Build'!O8</f>
        <v/>
      </c>
      <c r="P223" s="38">
        <f>'Headcount_Opex_Build'!P8</f>
        <v/>
      </c>
      <c r="Q223" s="38">
        <f>'Headcount_Opex_Build'!Q8</f>
        <v/>
      </c>
      <c r="R223" s="38">
        <f>'Headcount_Opex_Build'!R8</f>
        <v/>
      </c>
      <c r="S223" s="25">
        <f>S27</f>
        <v/>
      </c>
      <c r="T223" s="25">
        <f>T27</f>
        <v/>
      </c>
      <c r="U223" s="25">
        <f>U27</f>
        <v/>
      </c>
      <c r="V223" s="25">
        <f>V27</f>
        <v/>
      </c>
    </row>
    <row r="224">
      <c r="A224" s="4" t="inlineStr">
        <is>
          <t>s8_cph_rnd</t>
        </is>
      </c>
      <c r="B224" s="24" t="inlineStr">
        <is>
          <t>RND spend per employee</t>
        </is>
      </c>
      <c r="C224" s="4" t="inlineStr"/>
      <c r="G224" s="34">
        <f>'Headcount_Opex_Build'!G11</f>
        <v/>
      </c>
      <c r="H224" s="34">
        <f>'Headcount_Opex_Build'!H11</f>
        <v/>
      </c>
      <c r="I224" s="34">
        <f>'Headcount_Opex_Build'!I11</f>
        <v/>
      </c>
      <c r="J224" s="34">
        <f>'Headcount_Opex_Build'!J11</f>
        <v/>
      </c>
      <c r="K224" s="34">
        <f>'Headcount_Opex_Build'!K11</f>
        <v/>
      </c>
      <c r="L224" s="34">
        <f>'Headcount_Opex_Build'!L11</f>
        <v/>
      </c>
      <c r="M224" s="34">
        <f>'Headcount_Opex_Build'!M11</f>
        <v/>
      </c>
      <c r="N224" s="34">
        <f>'Headcount_Opex_Build'!N11</f>
        <v/>
      </c>
      <c r="O224" s="34">
        <f>'Headcount_Opex_Build'!O11</f>
        <v/>
      </c>
      <c r="P224" s="34">
        <f>'Headcount_Opex_Build'!P11</f>
        <v/>
      </c>
      <c r="Q224" s="34">
        <f>'Headcount_Opex_Build'!Q11</f>
        <v/>
      </c>
      <c r="R224" s="34">
        <f>'Headcount_Opex_Build'!R11</f>
        <v/>
      </c>
      <c r="S224" s="35">
        <f>S34</f>
        <v/>
      </c>
      <c r="T224" s="35">
        <f>T34</f>
        <v/>
      </c>
      <c r="U224" s="35">
        <f>U34</f>
        <v/>
      </c>
      <c r="V224" s="35">
        <f>V34</f>
        <v/>
      </c>
    </row>
    <row r="225">
      <c r="A225" s="4" t="inlineStr">
        <is>
          <t>s8_cph_snm</t>
        </is>
      </c>
      <c r="B225" s="24" t="inlineStr">
        <is>
          <t>SNM spend per employee</t>
        </is>
      </c>
      <c r="C225" s="4" t="inlineStr"/>
      <c r="G225" s="34">
        <f>'Headcount_Opex_Build'!G13</f>
        <v/>
      </c>
      <c r="H225" s="34">
        <f>'Headcount_Opex_Build'!H13</f>
        <v/>
      </c>
      <c r="I225" s="34">
        <f>'Headcount_Opex_Build'!I13</f>
        <v/>
      </c>
      <c r="J225" s="34">
        <f>'Headcount_Opex_Build'!J13</f>
        <v/>
      </c>
      <c r="K225" s="34">
        <f>'Headcount_Opex_Build'!K13</f>
        <v/>
      </c>
      <c r="L225" s="34">
        <f>'Headcount_Opex_Build'!L13</f>
        <v/>
      </c>
      <c r="M225" s="34">
        <f>'Headcount_Opex_Build'!M13</f>
        <v/>
      </c>
      <c r="N225" s="34">
        <f>'Headcount_Opex_Build'!N13</f>
        <v/>
      </c>
      <c r="O225" s="34">
        <f>'Headcount_Opex_Build'!O13</f>
        <v/>
      </c>
      <c r="P225" s="34">
        <f>'Headcount_Opex_Build'!P13</f>
        <v/>
      </c>
      <c r="Q225" s="34">
        <f>'Headcount_Opex_Build'!Q13</f>
        <v/>
      </c>
      <c r="R225" s="34">
        <f>'Headcount_Opex_Build'!R13</f>
        <v/>
      </c>
      <c r="S225" s="35">
        <f>S36</f>
        <v/>
      </c>
      <c r="T225" s="35">
        <f>T36</f>
        <v/>
      </c>
      <c r="U225" s="35">
        <f>U36</f>
        <v/>
      </c>
      <c r="V225" s="35">
        <f>V36</f>
        <v/>
      </c>
    </row>
    <row r="226">
      <c r="A226" s="4" t="inlineStr">
        <is>
          <t>s8_cph_gna</t>
        </is>
      </c>
      <c r="B226" s="24" t="inlineStr">
        <is>
          <t>GNA spend per employee</t>
        </is>
      </c>
      <c r="C226" s="4" t="inlineStr"/>
      <c r="G226" s="34">
        <f>'Headcount_Opex_Build'!G15</f>
        <v/>
      </c>
      <c r="H226" s="34">
        <f>'Headcount_Opex_Build'!H15</f>
        <v/>
      </c>
      <c r="I226" s="34">
        <f>'Headcount_Opex_Build'!I15</f>
        <v/>
      </c>
      <c r="J226" s="34">
        <f>'Headcount_Opex_Build'!J15</f>
        <v/>
      </c>
      <c r="K226" s="34">
        <f>'Headcount_Opex_Build'!K15</f>
        <v/>
      </c>
      <c r="L226" s="34">
        <f>'Headcount_Opex_Build'!L15</f>
        <v/>
      </c>
      <c r="M226" s="34">
        <f>'Headcount_Opex_Build'!M15</f>
        <v/>
      </c>
      <c r="N226" s="34">
        <f>'Headcount_Opex_Build'!N15</f>
        <v/>
      </c>
      <c r="O226" s="34">
        <f>'Headcount_Opex_Build'!O15</f>
        <v/>
      </c>
      <c r="P226" s="34">
        <f>'Headcount_Opex_Build'!P15</f>
        <v/>
      </c>
      <c r="Q226" s="34">
        <f>'Headcount_Opex_Build'!Q15</f>
        <v/>
      </c>
      <c r="R226" s="34">
        <f>'Headcount_Opex_Build'!R15</f>
        <v/>
      </c>
      <c r="S226" s="35">
        <f>S38</f>
        <v/>
      </c>
      <c r="T226" s="35">
        <f>T38</f>
        <v/>
      </c>
      <c r="U226" s="35">
        <f>U38</f>
        <v/>
      </c>
      <c r="V226" s="35">
        <f>V38</f>
        <v/>
      </c>
    </row>
    <row r="227">
      <c r="A227" s="4" t="inlineStr">
        <is>
          <t>s8_ng_opex</t>
        </is>
      </c>
      <c r="B227" s="24" t="inlineStr">
        <is>
          <t>Non-GAAP operating expenses</t>
        </is>
      </c>
      <c r="C227" s="4" t="inlineStr"/>
      <c r="S227" s="27">
        <f>S223*(S224+S225+S226)</f>
        <v/>
      </c>
      <c r="T227" s="27">
        <f>T223*(T224+T225+T226)</f>
        <v/>
      </c>
      <c r="U227" s="27">
        <f>U223*(U224+U225+U226)</f>
        <v/>
      </c>
      <c r="V227" s="27">
        <f>V223*(V224+V225+V226)</f>
        <v/>
      </c>
    </row>
    <row r="228">
      <c r="A228" s="4" t="inlineStr">
        <is>
          <t>s8_amort</t>
        </is>
      </c>
      <c r="B228" s="24" t="inlineStr">
        <is>
          <t>Amortization</t>
        </is>
      </c>
      <c r="C228" s="4" t="inlineStr"/>
      <c r="S228" s="27">
        <f>Inputs_Scenarios!$F$20</f>
        <v/>
      </c>
      <c r="T228" s="27">
        <f>Inputs_Scenarios!$F$20</f>
        <v/>
      </c>
      <c r="U228" s="27">
        <f>Inputs_Scenarios!$F$20</f>
        <v/>
      </c>
      <c r="V228" s="27">
        <f>Inputs_Scenarios!$F$20</f>
        <v/>
      </c>
    </row>
    <row r="229">
      <c r="A229" s="4" t="inlineStr">
        <is>
          <t>s8_ng_op</t>
        </is>
      </c>
      <c r="B229" s="2" t="inlineStr">
        <is>
          <t>Non-GAAP operating income</t>
        </is>
      </c>
      <c r="C229" s="4" t="inlineStr"/>
      <c r="S229" s="29">
        <f>S222-S227+S228</f>
        <v/>
      </c>
      <c r="T229" s="29">
        <f>T222-T227+T228</f>
        <v/>
      </c>
      <c r="U229" s="29">
        <f>U222-U227+U228</f>
        <v/>
      </c>
      <c r="V229" s="29">
        <f>V222-V227+V228</f>
        <v/>
      </c>
    </row>
    <row r="230">
      <c r="A230" s="4" t="inlineStr">
        <is>
          <t>s8_fcf</t>
        </is>
      </c>
      <c r="B230" s="2" t="inlineStr">
        <is>
          <t>Free cash flow</t>
        </is>
      </c>
      <c r="C230" s="4" t="inlineStr"/>
      <c r="S230" s="29">
        <f>S229*INDEX(Inputs_Scenarios!$F$29:$F$32,S6)</f>
        <v/>
      </c>
      <c r="T230" s="29">
        <f>T229*INDEX(Inputs_Scenarios!$F$29:$F$32,T6)</f>
        <v/>
      </c>
      <c r="U230" s="29">
        <f>U229*INDEX(Inputs_Scenarios!$F$29:$F$32,U6)</f>
        <v/>
      </c>
      <c r="V230" s="29">
        <f>V229*INDEX(Inputs_Scenarios!$F$29:$F$32,V6)</f>
        <v/>
      </c>
    </row>
    <row r="231">
      <c r="A231" s="4" t="inlineStr">
        <is>
          <t>s9_h</t>
        </is>
      </c>
      <c r="B231" s="2" t="inlineStr">
        <is>
          <t>Step 9: plan with actual expansion of existing customers (nrr / usage), new-logo volume, arr per new logo, enterprise advanced mix / timing, services, gross margin rate, headcount pace, cost per head, amortization</t>
        </is>
      </c>
      <c r="C231" s="4" t="inlineStr"/>
    </row>
    <row r="232">
      <c r="A232" s="4" t="inlineStr">
        <is>
          <t>s9_g</t>
        </is>
      </c>
      <c r="B232" s="24" t="inlineStr">
        <is>
          <t>Quarterly net expansion</t>
        </is>
      </c>
      <c r="C232" s="4" t="inlineStr"/>
      <c r="S232" s="43">
        <f>S43</f>
        <v/>
      </c>
      <c r="T232" s="43">
        <f>T43</f>
        <v/>
      </c>
      <c r="U232" s="43">
        <f>U43</f>
        <v/>
      </c>
      <c r="V232" s="43">
        <f>V43</f>
        <v/>
      </c>
    </row>
    <row r="233">
      <c r="A233" s="4" t="inlineStr">
        <is>
          <t>s9_nl</t>
        </is>
      </c>
      <c r="B233" s="24" t="inlineStr">
        <is>
          <t>Gross new logos</t>
        </is>
      </c>
      <c r="C233" s="4" t="inlineStr"/>
      <c r="S233" s="25">
        <f>S44</f>
        <v/>
      </c>
      <c r="T233" s="25">
        <f>T44</f>
        <v/>
      </c>
      <c r="U233" s="25">
        <f>U44</f>
        <v/>
      </c>
      <c r="V233" s="25">
        <f>V44</f>
        <v/>
      </c>
    </row>
    <row r="234">
      <c r="A234" s="4" t="inlineStr">
        <is>
          <t>s9_arpl</t>
        </is>
      </c>
      <c r="B234" s="24" t="inlineStr">
        <is>
          <t>ARR per new logo</t>
        </is>
      </c>
      <c r="C234" s="4" t="inlineStr"/>
      <c r="S234" s="35">
        <f>S45</f>
        <v/>
      </c>
      <c r="T234" s="35">
        <f>T45</f>
        <v/>
      </c>
      <c r="U234" s="35">
        <f>U45</f>
        <v/>
      </c>
      <c r="V234" s="35">
        <f>V45</f>
        <v/>
      </c>
    </row>
    <row r="235">
      <c r="A235" s="4" t="inlineStr">
        <is>
          <t>s9_arr</t>
        </is>
      </c>
      <c r="B235" s="24" t="inlineStr">
        <is>
          <t>ARR proxy</t>
        </is>
      </c>
      <c r="C235" s="4" t="inlineStr"/>
      <c r="G235" s="26">
        <f>'Cohort_ARR_Build'!G15</f>
        <v/>
      </c>
      <c r="H235" s="26">
        <f>'Cohort_ARR_Build'!H15</f>
        <v/>
      </c>
      <c r="I235" s="26">
        <f>'Cohort_ARR_Build'!I15</f>
        <v/>
      </c>
      <c r="J235" s="26">
        <f>'Cohort_ARR_Build'!J15</f>
        <v/>
      </c>
      <c r="K235" s="26">
        <f>'Cohort_ARR_Build'!K15</f>
        <v/>
      </c>
      <c r="L235" s="26">
        <f>'Cohort_ARR_Build'!L15</f>
        <v/>
      </c>
      <c r="M235" s="26">
        <f>'Cohort_ARR_Build'!M15</f>
        <v/>
      </c>
      <c r="N235" s="26">
        <f>'Cohort_ARR_Build'!N15</f>
        <v/>
      </c>
      <c r="O235" s="26">
        <f>'Cohort_ARR_Build'!O15</f>
        <v/>
      </c>
      <c r="P235" s="26">
        <f>'Cohort_ARR_Build'!P15</f>
        <v/>
      </c>
      <c r="Q235" s="26">
        <f>'Cohort_ARR_Build'!Q15</f>
        <v/>
      </c>
      <c r="R235" s="26">
        <f>'Cohort_ARR_Build'!R15</f>
        <v/>
      </c>
      <c r="S235" s="27">
        <f>R235*(1+S232)+S233*S234</f>
        <v/>
      </c>
      <c r="T235" s="27">
        <f>S235*(1+T232)+T233*T234</f>
        <v/>
      </c>
      <c r="U235" s="27">
        <f>T235*(1+U232)+U233*U234</f>
        <v/>
      </c>
      <c r="V235" s="27">
        <f>U235*(1+V232)+V233*V234</f>
        <v/>
      </c>
    </row>
    <row r="236">
      <c r="A236" s="4" t="inlineStr">
        <is>
          <t>s9_ea</t>
        </is>
      </c>
      <c r="B236" s="24" t="inlineStr">
        <is>
          <t>EA revenue</t>
        </is>
      </c>
      <c r="C236" s="4" t="inlineStr"/>
      <c r="D236" s="26">
        <f>'Operating_Model'!D9</f>
        <v/>
      </c>
      <c r="E236" s="26">
        <f>'Operating_Model'!E9</f>
        <v/>
      </c>
      <c r="F236" s="26">
        <f>'Operating_Model'!F9</f>
        <v/>
      </c>
      <c r="G236" s="26">
        <f>'Operating_Model'!G9</f>
        <v/>
      </c>
      <c r="H236" s="26">
        <f>'Operating_Model'!H9</f>
        <v/>
      </c>
      <c r="I236" s="26">
        <f>'Operating_Model'!I9</f>
        <v/>
      </c>
      <c r="J236" s="26">
        <f>'Operating_Model'!J9</f>
        <v/>
      </c>
      <c r="K236" s="26">
        <f>'Operating_Model'!K9</f>
        <v/>
      </c>
      <c r="L236" s="26">
        <f>'Operating_Model'!L9</f>
        <v/>
      </c>
      <c r="M236" s="26">
        <f>'Operating_Model'!M9</f>
        <v/>
      </c>
      <c r="N236" s="26">
        <f>'Operating_Model'!N9</f>
        <v/>
      </c>
      <c r="O236" s="26">
        <f>'Operating_Model'!O9</f>
        <v/>
      </c>
      <c r="P236" s="26">
        <f>'Operating_Model'!P9</f>
        <v/>
      </c>
      <c r="Q236" s="26">
        <f>'Operating_Model'!Q9</f>
        <v/>
      </c>
      <c r="R236" s="26">
        <f>'Operating_Model'!R9</f>
        <v/>
      </c>
      <c r="S236" s="27">
        <f>O236*(1+S46)</f>
        <v/>
      </c>
      <c r="T236" s="27">
        <f>P236*(1+T46)</f>
        <v/>
      </c>
      <c r="U236" s="27">
        <f>Q236*(1+U46)</f>
        <v/>
      </c>
      <c r="V236" s="27">
        <f>R236*(1+V46)</f>
        <v/>
      </c>
    </row>
    <row r="237">
      <c r="A237" s="4" t="inlineStr">
        <is>
          <t>s9_ea_ttm</t>
        </is>
      </c>
      <c r="B237" s="24" t="inlineStr">
        <is>
          <t>EA trailing 4Q</t>
        </is>
      </c>
      <c r="C237" s="4" t="inlineStr"/>
      <c r="S237" s="27">
        <f>SUM(P236:S236)</f>
        <v/>
      </c>
      <c r="T237" s="27">
        <f>SUM(Q236:T236)</f>
        <v/>
      </c>
      <c r="U237" s="27">
        <f>SUM(R236:U236)</f>
        <v/>
      </c>
      <c r="V237" s="27">
        <f>SUM(S236:V236)</f>
        <v/>
      </c>
    </row>
    <row r="238">
      <c r="A238" s="4" t="inlineStr">
        <is>
          <t>s9_atlas</t>
        </is>
      </c>
      <c r="B238" s="24" t="inlineStr">
        <is>
          <t>Atlas revenue</t>
        </is>
      </c>
      <c r="C238" s="4" t="inlineStr"/>
      <c r="S238" s="27">
        <f>(S235-S237)*S5/Inputs_Scenarios!$C$5</f>
        <v/>
      </c>
      <c r="T238" s="27">
        <f>(T235-T237)*T5/Inputs_Scenarios!$C$5</f>
        <v/>
      </c>
      <c r="U238" s="27">
        <f>(U235-U237)*U5/Inputs_Scenarios!$C$5</f>
        <v/>
      </c>
      <c r="V238" s="27">
        <f>(V235-V237)*V5/Inputs_Scenarios!$C$5</f>
        <v/>
      </c>
    </row>
    <row r="239">
      <c r="A239" s="4" t="inlineStr">
        <is>
          <t>s9_svc</t>
        </is>
      </c>
      <c r="B239" s="24" t="inlineStr">
        <is>
          <t>Services revenue</t>
        </is>
      </c>
      <c r="C239" s="4" t="inlineStr"/>
      <c r="D239" s="26">
        <f>'Operating_Model'!D11</f>
        <v/>
      </c>
      <c r="E239" s="26">
        <f>'Operating_Model'!E11</f>
        <v/>
      </c>
      <c r="F239" s="26">
        <f>'Operating_Model'!F11</f>
        <v/>
      </c>
      <c r="G239" s="26">
        <f>'Operating_Model'!G11</f>
        <v/>
      </c>
      <c r="H239" s="26">
        <f>'Operating_Model'!H11</f>
        <v/>
      </c>
      <c r="I239" s="26">
        <f>'Operating_Model'!I11</f>
        <v/>
      </c>
      <c r="J239" s="26">
        <f>'Operating_Model'!J11</f>
        <v/>
      </c>
      <c r="K239" s="26">
        <f>'Operating_Model'!K11</f>
        <v/>
      </c>
      <c r="L239" s="26">
        <f>'Operating_Model'!L11</f>
        <v/>
      </c>
      <c r="M239" s="26">
        <f>'Operating_Model'!M11</f>
        <v/>
      </c>
      <c r="N239" s="26">
        <f>'Operating_Model'!N11</f>
        <v/>
      </c>
      <c r="O239" s="26">
        <f>'Operating_Model'!O11</f>
        <v/>
      </c>
      <c r="P239" s="26">
        <f>'Operating_Model'!P11</f>
        <v/>
      </c>
      <c r="Q239" s="26">
        <f>'Operating_Model'!Q11</f>
        <v/>
      </c>
      <c r="R239" s="26">
        <f>'Operating_Model'!R11</f>
        <v/>
      </c>
      <c r="S239" s="27">
        <f>O239*(1+S47)</f>
        <v/>
      </c>
      <c r="T239" s="27">
        <f>P239*(1+T47)</f>
        <v/>
      </c>
      <c r="U239" s="27">
        <f>Q239*(1+U47)</f>
        <v/>
      </c>
      <c r="V239" s="27">
        <f>R239*(1+V47)</f>
        <v/>
      </c>
    </row>
    <row r="240">
      <c r="A240" s="4" t="inlineStr">
        <is>
          <t>s9_sub</t>
        </is>
      </c>
      <c r="B240" s="24" t="inlineStr">
        <is>
          <t>Subscription revenue</t>
        </is>
      </c>
      <c r="C240" s="4" t="inlineStr"/>
      <c r="S240" s="27">
        <f>S238+S236</f>
        <v/>
      </c>
      <c r="T240" s="27">
        <f>T238+T236</f>
        <v/>
      </c>
      <c r="U240" s="27">
        <f>U238+U236</f>
        <v/>
      </c>
      <c r="V240" s="27">
        <f>V238+V236</f>
        <v/>
      </c>
    </row>
    <row r="241">
      <c r="A241" s="4" t="inlineStr">
        <is>
          <t>s9_revenue</t>
        </is>
      </c>
      <c r="B241" s="2" t="inlineStr">
        <is>
          <t>Total revenue</t>
        </is>
      </c>
      <c r="C241" s="4" t="inlineStr"/>
      <c r="S241" s="29">
        <f>S240+S239</f>
        <v/>
      </c>
      <c r="T241" s="29">
        <f>T240+T239</f>
        <v/>
      </c>
      <c r="U241" s="29">
        <f>U240+U239</f>
        <v/>
      </c>
      <c r="V241" s="29">
        <f>V240+V239</f>
        <v/>
      </c>
    </row>
    <row r="242">
      <c r="A242" s="4" t="inlineStr">
        <is>
          <t>s9_ng_gp</t>
        </is>
      </c>
      <c r="B242" s="24" t="inlineStr">
        <is>
          <t>Non-GAAP gross profit</t>
        </is>
      </c>
      <c r="C242" s="4" t="inlineStr"/>
      <c r="S242" s="27">
        <f>S241-S240*(1-S48)-S239*(1-S49)+S241*(S50)</f>
        <v/>
      </c>
      <c r="T242" s="27">
        <f>T241-T240*(1-T48)-T239*(1-T49)+T241*(T50)</f>
        <v/>
      </c>
      <c r="U242" s="27">
        <f>U241-U240*(1-U48)-U239*(1-U49)+U241*(U50)</f>
        <v/>
      </c>
      <c r="V242" s="27">
        <f>V241-V240*(1-V48)-V239*(1-V49)+V241*(V50)</f>
        <v/>
      </c>
    </row>
    <row r="243">
      <c r="A243" s="4" t="inlineStr">
        <is>
          <t>s9_hc</t>
        </is>
      </c>
      <c r="B243" s="24" t="inlineStr">
        <is>
          <t>Employees</t>
        </is>
      </c>
      <c r="C243" s="4" t="inlineStr"/>
      <c r="G243" s="38">
        <f>'Headcount_Opex_Build'!G8</f>
        <v/>
      </c>
      <c r="H243" s="38">
        <f>'Headcount_Opex_Build'!H8</f>
        <v/>
      </c>
      <c r="I243" s="38">
        <f>'Headcount_Opex_Build'!I8</f>
        <v/>
      </c>
      <c r="J243" s="38">
        <f>'Headcount_Opex_Build'!J8</f>
        <v/>
      </c>
      <c r="K243" s="38">
        <f>'Headcount_Opex_Build'!K8</f>
        <v/>
      </c>
      <c r="L243" s="38">
        <f>'Headcount_Opex_Build'!L8</f>
        <v/>
      </c>
      <c r="M243" s="38">
        <f>'Headcount_Opex_Build'!M8</f>
        <v/>
      </c>
      <c r="N243" s="38">
        <f>'Headcount_Opex_Build'!N8</f>
        <v/>
      </c>
      <c r="O243" s="38">
        <f>'Headcount_Opex_Build'!O8</f>
        <v/>
      </c>
      <c r="P243" s="38">
        <f>'Headcount_Opex_Build'!P8</f>
        <v/>
      </c>
      <c r="Q243" s="38">
        <f>'Headcount_Opex_Build'!Q8</f>
        <v/>
      </c>
      <c r="R243" s="38">
        <f>'Headcount_Opex_Build'!R8</f>
        <v/>
      </c>
      <c r="S243" s="25">
        <f>S27</f>
        <v/>
      </c>
      <c r="T243" s="25">
        <f>T27</f>
        <v/>
      </c>
      <c r="U243" s="25">
        <f>U27</f>
        <v/>
      </c>
      <c r="V243" s="25">
        <f>V27</f>
        <v/>
      </c>
    </row>
    <row r="244">
      <c r="A244" s="4" t="inlineStr">
        <is>
          <t>s9_cph_rnd</t>
        </is>
      </c>
      <c r="B244" s="24" t="inlineStr">
        <is>
          <t>RND spend per employee</t>
        </is>
      </c>
      <c r="C244" s="4" t="inlineStr"/>
      <c r="G244" s="34">
        <f>'Headcount_Opex_Build'!G11</f>
        <v/>
      </c>
      <c r="H244" s="34">
        <f>'Headcount_Opex_Build'!H11</f>
        <v/>
      </c>
      <c r="I244" s="34">
        <f>'Headcount_Opex_Build'!I11</f>
        <v/>
      </c>
      <c r="J244" s="34">
        <f>'Headcount_Opex_Build'!J11</f>
        <v/>
      </c>
      <c r="K244" s="34">
        <f>'Headcount_Opex_Build'!K11</f>
        <v/>
      </c>
      <c r="L244" s="34">
        <f>'Headcount_Opex_Build'!L11</f>
        <v/>
      </c>
      <c r="M244" s="34">
        <f>'Headcount_Opex_Build'!M11</f>
        <v/>
      </c>
      <c r="N244" s="34">
        <f>'Headcount_Opex_Build'!N11</f>
        <v/>
      </c>
      <c r="O244" s="34">
        <f>'Headcount_Opex_Build'!O11</f>
        <v/>
      </c>
      <c r="P244" s="34">
        <f>'Headcount_Opex_Build'!P11</f>
        <v/>
      </c>
      <c r="Q244" s="34">
        <f>'Headcount_Opex_Build'!Q11</f>
        <v/>
      </c>
      <c r="R244" s="34">
        <f>'Headcount_Opex_Build'!R11</f>
        <v/>
      </c>
      <c r="S244" s="35">
        <f>S34</f>
        <v/>
      </c>
      <c r="T244" s="35">
        <f>T34</f>
        <v/>
      </c>
      <c r="U244" s="35">
        <f>U34</f>
        <v/>
      </c>
      <c r="V244" s="35">
        <f>V34</f>
        <v/>
      </c>
    </row>
    <row r="245">
      <c r="A245" s="4" t="inlineStr">
        <is>
          <t>s9_cph_snm</t>
        </is>
      </c>
      <c r="B245" s="24" t="inlineStr">
        <is>
          <t>SNM spend per employee</t>
        </is>
      </c>
      <c r="C245" s="4" t="inlineStr"/>
      <c r="G245" s="34">
        <f>'Headcount_Opex_Build'!G13</f>
        <v/>
      </c>
      <c r="H245" s="34">
        <f>'Headcount_Opex_Build'!H13</f>
        <v/>
      </c>
      <c r="I245" s="34">
        <f>'Headcount_Opex_Build'!I13</f>
        <v/>
      </c>
      <c r="J245" s="34">
        <f>'Headcount_Opex_Build'!J13</f>
        <v/>
      </c>
      <c r="K245" s="34">
        <f>'Headcount_Opex_Build'!K13</f>
        <v/>
      </c>
      <c r="L245" s="34">
        <f>'Headcount_Opex_Build'!L13</f>
        <v/>
      </c>
      <c r="M245" s="34">
        <f>'Headcount_Opex_Build'!M13</f>
        <v/>
      </c>
      <c r="N245" s="34">
        <f>'Headcount_Opex_Build'!N13</f>
        <v/>
      </c>
      <c r="O245" s="34">
        <f>'Headcount_Opex_Build'!O13</f>
        <v/>
      </c>
      <c r="P245" s="34">
        <f>'Headcount_Opex_Build'!P13</f>
        <v/>
      </c>
      <c r="Q245" s="34">
        <f>'Headcount_Opex_Build'!Q13</f>
        <v/>
      </c>
      <c r="R245" s="34">
        <f>'Headcount_Opex_Build'!R13</f>
        <v/>
      </c>
      <c r="S245" s="35">
        <f>S36</f>
        <v/>
      </c>
      <c r="T245" s="35">
        <f>T36</f>
        <v/>
      </c>
      <c r="U245" s="35">
        <f>U36</f>
        <v/>
      </c>
      <c r="V245" s="35">
        <f>V36</f>
        <v/>
      </c>
    </row>
    <row r="246">
      <c r="A246" s="4" t="inlineStr">
        <is>
          <t>s9_cph_gna</t>
        </is>
      </c>
      <c r="B246" s="24" t="inlineStr">
        <is>
          <t>GNA spend per employee</t>
        </is>
      </c>
      <c r="C246" s="4" t="inlineStr"/>
      <c r="G246" s="34">
        <f>'Headcount_Opex_Build'!G15</f>
        <v/>
      </c>
      <c r="H246" s="34">
        <f>'Headcount_Opex_Build'!H15</f>
        <v/>
      </c>
      <c r="I246" s="34">
        <f>'Headcount_Opex_Build'!I15</f>
        <v/>
      </c>
      <c r="J246" s="34">
        <f>'Headcount_Opex_Build'!J15</f>
        <v/>
      </c>
      <c r="K246" s="34">
        <f>'Headcount_Opex_Build'!K15</f>
        <v/>
      </c>
      <c r="L246" s="34">
        <f>'Headcount_Opex_Build'!L15</f>
        <v/>
      </c>
      <c r="M246" s="34">
        <f>'Headcount_Opex_Build'!M15</f>
        <v/>
      </c>
      <c r="N246" s="34">
        <f>'Headcount_Opex_Build'!N15</f>
        <v/>
      </c>
      <c r="O246" s="34">
        <f>'Headcount_Opex_Build'!O15</f>
        <v/>
      </c>
      <c r="P246" s="34">
        <f>'Headcount_Opex_Build'!P15</f>
        <v/>
      </c>
      <c r="Q246" s="34">
        <f>'Headcount_Opex_Build'!Q15</f>
        <v/>
      </c>
      <c r="R246" s="34">
        <f>'Headcount_Opex_Build'!R15</f>
        <v/>
      </c>
      <c r="S246" s="35">
        <f>S38</f>
        <v/>
      </c>
      <c r="T246" s="35">
        <f>T38</f>
        <v/>
      </c>
      <c r="U246" s="35">
        <f>U38</f>
        <v/>
      </c>
      <c r="V246" s="35">
        <f>V38</f>
        <v/>
      </c>
    </row>
    <row r="247">
      <c r="A247" s="4" t="inlineStr">
        <is>
          <t>s9_ng_opex</t>
        </is>
      </c>
      <c r="B247" s="24" t="inlineStr">
        <is>
          <t>Non-GAAP operating expenses</t>
        </is>
      </c>
      <c r="C247" s="4" t="inlineStr"/>
      <c r="S247" s="27">
        <f>S243*(S244+S245+S246)</f>
        <v/>
      </c>
      <c r="T247" s="27">
        <f>T243*(T244+T245+T246)</f>
        <v/>
      </c>
      <c r="U247" s="27">
        <f>U243*(U244+U245+U246)</f>
        <v/>
      </c>
      <c r="V247" s="27">
        <f>V243*(V244+V245+V246)</f>
        <v/>
      </c>
    </row>
    <row r="248">
      <c r="A248" s="4" t="inlineStr">
        <is>
          <t>s9_amort</t>
        </is>
      </c>
      <c r="B248" s="24" t="inlineStr">
        <is>
          <t>Amortization</t>
        </is>
      </c>
      <c r="C248" s="4" t="inlineStr"/>
      <c r="S248" s="27">
        <f>S22</f>
        <v/>
      </c>
      <c r="T248" s="27">
        <f>T22</f>
        <v/>
      </c>
      <c r="U248" s="27">
        <f>U22</f>
        <v/>
      </c>
      <c r="V248" s="27">
        <f>V22</f>
        <v/>
      </c>
    </row>
    <row r="249">
      <c r="A249" s="4" t="inlineStr">
        <is>
          <t>s9_ng_op</t>
        </is>
      </c>
      <c r="B249" s="2" t="inlineStr">
        <is>
          <t>Non-GAAP operating income</t>
        </is>
      </c>
      <c r="C249" s="4" t="inlineStr"/>
      <c r="S249" s="29">
        <f>S242-S247+S248</f>
        <v/>
      </c>
      <c r="T249" s="29">
        <f>T242-T247+T248</f>
        <v/>
      </c>
      <c r="U249" s="29">
        <f>U242-U247+U248</f>
        <v/>
      </c>
      <c r="V249" s="29">
        <f>V242-V247+V248</f>
        <v/>
      </c>
    </row>
    <row r="250">
      <c r="A250" s="4" t="inlineStr">
        <is>
          <t>s9_fcf</t>
        </is>
      </c>
      <c r="B250" s="2" t="inlineStr">
        <is>
          <t>Free cash flow</t>
        </is>
      </c>
      <c r="C250" s="4" t="inlineStr"/>
      <c r="S250" s="29">
        <f>S249*INDEX(Inputs_Scenarios!$F$29:$F$32,S6)</f>
        <v/>
      </c>
      <c r="T250" s="29">
        <f>T249*INDEX(Inputs_Scenarios!$F$29:$F$32,T6)</f>
        <v/>
      </c>
      <c r="U250" s="29">
        <f>U249*INDEX(Inputs_Scenarios!$F$29:$F$32,U6)</f>
        <v/>
      </c>
      <c r="V250" s="29">
        <f>V249*INDEX(Inputs_Scenarios!$F$29:$F$32,V6)</f>
        <v/>
      </c>
    </row>
    <row r="251">
      <c r="A251" s="4" t="inlineStr">
        <is>
          <t>s10_h</t>
        </is>
      </c>
      <c r="B251" s="2" t="inlineStr">
        <is>
          <t>Step 10: plan with actual expansion of existing customers (nrr / usage), new-logo volume, arr per new logo, enterprise advanced mix / timing, services, gross margin rate, headcount pace, cost per head, amortization, fcf conversion</t>
        </is>
      </c>
      <c r="C251" s="4" t="inlineStr"/>
    </row>
    <row r="252">
      <c r="A252" s="4" t="inlineStr">
        <is>
          <t>s10_g</t>
        </is>
      </c>
      <c r="B252" s="24" t="inlineStr">
        <is>
          <t>Quarterly net expansion</t>
        </is>
      </c>
      <c r="C252" s="4" t="inlineStr"/>
      <c r="S252" s="43">
        <f>S43</f>
        <v/>
      </c>
      <c r="T252" s="43">
        <f>T43</f>
        <v/>
      </c>
      <c r="U252" s="43">
        <f>U43</f>
        <v/>
      </c>
      <c r="V252" s="43">
        <f>V43</f>
        <v/>
      </c>
    </row>
    <row r="253">
      <c r="A253" s="4" t="inlineStr">
        <is>
          <t>s10_nl</t>
        </is>
      </c>
      <c r="B253" s="24" t="inlineStr">
        <is>
          <t>Gross new logos</t>
        </is>
      </c>
      <c r="C253" s="4" t="inlineStr"/>
      <c r="S253" s="25">
        <f>S44</f>
        <v/>
      </c>
      <c r="T253" s="25">
        <f>T44</f>
        <v/>
      </c>
      <c r="U253" s="25">
        <f>U44</f>
        <v/>
      </c>
      <c r="V253" s="25">
        <f>V44</f>
        <v/>
      </c>
    </row>
    <row r="254">
      <c r="A254" s="4" t="inlineStr">
        <is>
          <t>s10_arpl</t>
        </is>
      </c>
      <c r="B254" s="24" t="inlineStr">
        <is>
          <t>ARR per new logo</t>
        </is>
      </c>
      <c r="C254" s="4" t="inlineStr"/>
      <c r="S254" s="35">
        <f>S45</f>
        <v/>
      </c>
      <c r="T254" s="35">
        <f>T45</f>
        <v/>
      </c>
      <c r="U254" s="35">
        <f>U45</f>
        <v/>
      </c>
      <c r="V254" s="35">
        <f>V45</f>
        <v/>
      </c>
    </row>
    <row r="255">
      <c r="A255" s="4" t="inlineStr">
        <is>
          <t>s10_arr</t>
        </is>
      </c>
      <c r="B255" s="24" t="inlineStr">
        <is>
          <t>ARR proxy</t>
        </is>
      </c>
      <c r="C255" s="4" t="inlineStr"/>
      <c r="G255" s="26">
        <f>'Cohort_ARR_Build'!G15</f>
        <v/>
      </c>
      <c r="H255" s="26">
        <f>'Cohort_ARR_Build'!H15</f>
        <v/>
      </c>
      <c r="I255" s="26">
        <f>'Cohort_ARR_Build'!I15</f>
        <v/>
      </c>
      <c r="J255" s="26">
        <f>'Cohort_ARR_Build'!J15</f>
        <v/>
      </c>
      <c r="K255" s="26">
        <f>'Cohort_ARR_Build'!K15</f>
        <v/>
      </c>
      <c r="L255" s="26">
        <f>'Cohort_ARR_Build'!L15</f>
        <v/>
      </c>
      <c r="M255" s="26">
        <f>'Cohort_ARR_Build'!M15</f>
        <v/>
      </c>
      <c r="N255" s="26">
        <f>'Cohort_ARR_Build'!N15</f>
        <v/>
      </c>
      <c r="O255" s="26">
        <f>'Cohort_ARR_Build'!O15</f>
        <v/>
      </c>
      <c r="P255" s="26">
        <f>'Cohort_ARR_Build'!P15</f>
        <v/>
      </c>
      <c r="Q255" s="26">
        <f>'Cohort_ARR_Build'!Q15</f>
        <v/>
      </c>
      <c r="R255" s="26">
        <f>'Cohort_ARR_Build'!R15</f>
        <v/>
      </c>
      <c r="S255" s="27">
        <f>R255*(1+S252)+S253*S254</f>
        <v/>
      </c>
      <c r="T255" s="27">
        <f>S255*(1+T252)+T253*T254</f>
        <v/>
      </c>
      <c r="U255" s="27">
        <f>T255*(1+U252)+U253*U254</f>
        <v/>
      </c>
      <c r="V255" s="27">
        <f>U255*(1+V252)+V253*V254</f>
        <v/>
      </c>
    </row>
    <row r="256">
      <c r="A256" s="4" t="inlineStr">
        <is>
          <t>s10_ea</t>
        </is>
      </c>
      <c r="B256" s="24" t="inlineStr">
        <is>
          <t>EA revenue</t>
        </is>
      </c>
      <c r="C256" s="4" t="inlineStr"/>
      <c r="D256" s="26">
        <f>'Operating_Model'!D9</f>
        <v/>
      </c>
      <c r="E256" s="26">
        <f>'Operating_Model'!E9</f>
        <v/>
      </c>
      <c r="F256" s="26">
        <f>'Operating_Model'!F9</f>
        <v/>
      </c>
      <c r="G256" s="26">
        <f>'Operating_Model'!G9</f>
        <v/>
      </c>
      <c r="H256" s="26">
        <f>'Operating_Model'!H9</f>
        <v/>
      </c>
      <c r="I256" s="26">
        <f>'Operating_Model'!I9</f>
        <v/>
      </c>
      <c r="J256" s="26">
        <f>'Operating_Model'!J9</f>
        <v/>
      </c>
      <c r="K256" s="26">
        <f>'Operating_Model'!K9</f>
        <v/>
      </c>
      <c r="L256" s="26">
        <f>'Operating_Model'!L9</f>
        <v/>
      </c>
      <c r="M256" s="26">
        <f>'Operating_Model'!M9</f>
        <v/>
      </c>
      <c r="N256" s="26">
        <f>'Operating_Model'!N9</f>
        <v/>
      </c>
      <c r="O256" s="26">
        <f>'Operating_Model'!O9</f>
        <v/>
      </c>
      <c r="P256" s="26">
        <f>'Operating_Model'!P9</f>
        <v/>
      </c>
      <c r="Q256" s="26">
        <f>'Operating_Model'!Q9</f>
        <v/>
      </c>
      <c r="R256" s="26">
        <f>'Operating_Model'!R9</f>
        <v/>
      </c>
      <c r="S256" s="27">
        <f>O256*(1+S46)</f>
        <v/>
      </c>
      <c r="T256" s="27">
        <f>P256*(1+T46)</f>
        <v/>
      </c>
      <c r="U256" s="27">
        <f>Q256*(1+U46)</f>
        <v/>
      </c>
      <c r="V256" s="27">
        <f>R256*(1+V46)</f>
        <v/>
      </c>
    </row>
    <row r="257">
      <c r="A257" s="4" t="inlineStr">
        <is>
          <t>s10_ea_ttm</t>
        </is>
      </c>
      <c r="B257" s="24" t="inlineStr">
        <is>
          <t>EA trailing 4Q</t>
        </is>
      </c>
      <c r="C257" s="4" t="inlineStr"/>
      <c r="S257" s="27">
        <f>SUM(P256:S256)</f>
        <v/>
      </c>
      <c r="T257" s="27">
        <f>SUM(Q256:T256)</f>
        <v/>
      </c>
      <c r="U257" s="27">
        <f>SUM(R256:U256)</f>
        <v/>
      </c>
      <c r="V257" s="27">
        <f>SUM(S256:V256)</f>
        <v/>
      </c>
    </row>
    <row r="258">
      <c r="A258" s="4" t="inlineStr">
        <is>
          <t>s10_atlas</t>
        </is>
      </c>
      <c r="B258" s="24" t="inlineStr">
        <is>
          <t>Atlas revenue</t>
        </is>
      </c>
      <c r="C258" s="4" t="inlineStr"/>
      <c r="S258" s="27">
        <f>(S255-S257)*S5/Inputs_Scenarios!$C$5</f>
        <v/>
      </c>
      <c r="T258" s="27">
        <f>(T255-T257)*T5/Inputs_Scenarios!$C$5</f>
        <v/>
      </c>
      <c r="U258" s="27">
        <f>(U255-U257)*U5/Inputs_Scenarios!$C$5</f>
        <v/>
      </c>
      <c r="V258" s="27">
        <f>(V255-V257)*V5/Inputs_Scenarios!$C$5</f>
        <v/>
      </c>
    </row>
    <row r="259">
      <c r="A259" s="4" t="inlineStr">
        <is>
          <t>s10_svc</t>
        </is>
      </c>
      <c r="B259" s="24" t="inlineStr">
        <is>
          <t>Services revenue</t>
        </is>
      </c>
      <c r="C259" s="4" t="inlineStr"/>
      <c r="D259" s="26">
        <f>'Operating_Model'!D11</f>
        <v/>
      </c>
      <c r="E259" s="26">
        <f>'Operating_Model'!E11</f>
        <v/>
      </c>
      <c r="F259" s="26">
        <f>'Operating_Model'!F11</f>
        <v/>
      </c>
      <c r="G259" s="26">
        <f>'Operating_Model'!G11</f>
        <v/>
      </c>
      <c r="H259" s="26">
        <f>'Operating_Model'!H11</f>
        <v/>
      </c>
      <c r="I259" s="26">
        <f>'Operating_Model'!I11</f>
        <v/>
      </c>
      <c r="J259" s="26">
        <f>'Operating_Model'!J11</f>
        <v/>
      </c>
      <c r="K259" s="26">
        <f>'Operating_Model'!K11</f>
        <v/>
      </c>
      <c r="L259" s="26">
        <f>'Operating_Model'!L11</f>
        <v/>
      </c>
      <c r="M259" s="26">
        <f>'Operating_Model'!M11</f>
        <v/>
      </c>
      <c r="N259" s="26">
        <f>'Operating_Model'!N11</f>
        <v/>
      </c>
      <c r="O259" s="26">
        <f>'Operating_Model'!O11</f>
        <v/>
      </c>
      <c r="P259" s="26">
        <f>'Operating_Model'!P11</f>
        <v/>
      </c>
      <c r="Q259" s="26">
        <f>'Operating_Model'!Q11</f>
        <v/>
      </c>
      <c r="R259" s="26">
        <f>'Operating_Model'!R11</f>
        <v/>
      </c>
      <c r="S259" s="27">
        <f>O259*(1+S47)</f>
        <v/>
      </c>
      <c r="T259" s="27">
        <f>P259*(1+T47)</f>
        <v/>
      </c>
      <c r="U259" s="27">
        <f>Q259*(1+U47)</f>
        <v/>
      </c>
      <c r="V259" s="27">
        <f>R259*(1+V47)</f>
        <v/>
      </c>
    </row>
    <row r="260">
      <c r="A260" s="4" t="inlineStr">
        <is>
          <t>s10_sub</t>
        </is>
      </c>
      <c r="B260" s="24" t="inlineStr">
        <is>
          <t>Subscription revenue</t>
        </is>
      </c>
      <c r="C260" s="4" t="inlineStr"/>
      <c r="S260" s="27">
        <f>S258+S256</f>
        <v/>
      </c>
      <c r="T260" s="27">
        <f>T258+T256</f>
        <v/>
      </c>
      <c r="U260" s="27">
        <f>U258+U256</f>
        <v/>
      </c>
      <c r="V260" s="27">
        <f>V258+V256</f>
        <v/>
      </c>
    </row>
    <row r="261">
      <c r="A261" s="4" t="inlineStr">
        <is>
          <t>s10_revenue</t>
        </is>
      </c>
      <c r="B261" s="2" t="inlineStr">
        <is>
          <t>Total revenue</t>
        </is>
      </c>
      <c r="C261" s="4" t="inlineStr"/>
      <c r="S261" s="29">
        <f>S260+S259</f>
        <v/>
      </c>
      <c r="T261" s="29">
        <f>T260+T259</f>
        <v/>
      </c>
      <c r="U261" s="29">
        <f>U260+U259</f>
        <v/>
      </c>
      <c r="V261" s="29">
        <f>V260+V259</f>
        <v/>
      </c>
    </row>
    <row r="262">
      <c r="A262" s="4" t="inlineStr">
        <is>
          <t>s10_ng_gp</t>
        </is>
      </c>
      <c r="B262" s="24" t="inlineStr">
        <is>
          <t>Non-GAAP gross profit</t>
        </is>
      </c>
      <c r="C262" s="4" t="inlineStr"/>
      <c r="S262" s="27">
        <f>S261-S260*(1-S48)-S259*(1-S49)+S261*(S50)</f>
        <v/>
      </c>
      <c r="T262" s="27">
        <f>T261-T260*(1-T48)-T259*(1-T49)+T261*(T50)</f>
        <v/>
      </c>
      <c r="U262" s="27">
        <f>U261-U260*(1-U48)-U259*(1-U49)+U261*(U50)</f>
        <v/>
      </c>
      <c r="V262" s="27">
        <f>V261-V260*(1-V48)-V259*(1-V49)+V261*(V50)</f>
        <v/>
      </c>
    </row>
    <row r="263">
      <c r="A263" s="4" t="inlineStr">
        <is>
          <t>s10_hc</t>
        </is>
      </c>
      <c r="B263" s="24" t="inlineStr">
        <is>
          <t>Employees</t>
        </is>
      </c>
      <c r="C263" s="4" t="inlineStr"/>
      <c r="G263" s="38">
        <f>'Headcount_Opex_Build'!G8</f>
        <v/>
      </c>
      <c r="H263" s="38">
        <f>'Headcount_Opex_Build'!H8</f>
        <v/>
      </c>
      <c r="I263" s="38">
        <f>'Headcount_Opex_Build'!I8</f>
        <v/>
      </c>
      <c r="J263" s="38">
        <f>'Headcount_Opex_Build'!J8</f>
        <v/>
      </c>
      <c r="K263" s="38">
        <f>'Headcount_Opex_Build'!K8</f>
        <v/>
      </c>
      <c r="L263" s="38">
        <f>'Headcount_Opex_Build'!L8</f>
        <v/>
      </c>
      <c r="M263" s="38">
        <f>'Headcount_Opex_Build'!M8</f>
        <v/>
      </c>
      <c r="N263" s="38">
        <f>'Headcount_Opex_Build'!N8</f>
        <v/>
      </c>
      <c r="O263" s="38">
        <f>'Headcount_Opex_Build'!O8</f>
        <v/>
      </c>
      <c r="P263" s="38">
        <f>'Headcount_Opex_Build'!P8</f>
        <v/>
      </c>
      <c r="Q263" s="38">
        <f>'Headcount_Opex_Build'!Q8</f>
        <v/>
      </c>
      <c r="R263" s="38">
        <f>'Headcount_Opex_Build'!R8</f>
        <v/>
      </c>
      <c r="S263" s="25">
        <f>S27</f>
        <v/>
      </c>
      <c r="T263" s="25">
        <f>T27</f>
        <v/>
      </c>
      <c r="U263" s="25">
        <f>U27</f>
        <v/>
      </c>
      <c r="V263" s="25">
        <f>V27</f>
        <v/>
      </c>
    </row>
    <row r="264">
      <c r="A264" s="4" t="inlineStr">
        <is>
          <t>s10_cph_rnd</t>
        </is>
      </c>
      <c r="B264" s="24" t="inlineStr">
        <is>
          <t>RND spend per employee</t>
        </is>
      </c>
      <c r="C264" s="4" t="inlineStr"/>
      <c r="G264" s="34">
        <f>'Headcount_Opex_Build'!G11</f>
        <v/>
      </c>
      <c r="H264" s="34">
        <f>'Headcount_Opex_Build'!H11</f>
        <v/>
      </c>
      <c r="I264" s="34">
        <f>'Headcount_Opex_Build'!I11</f>
        <v/>
      </c>
      <c r="J264" s="34">
        <f>'Headcount_Opex_Build'!J11</f>
        <v/>
      </c>
      <c r="K264" s="34">
        <f>'Headcount_Opex_Build'!K11</f>
        <v/>
      </c>
      <c r="L264" s="34">
        <f>'Headcount_Opex_Build'!L11</f>
        <v/>
      </c>
      <c r="M264" s="34">
        <f>'Headcount_Opex_Build'!M11</f>
        <v/>
      </c>
      <c r="N264" s="34">
        <f>'Headcount_Opex_Build'!N11</f>
        <v/>
      </c>
      <c r="O264" s="34">
        <f>'Headcount_Opex_Build'!O11</f>
        <v/>
      </c>
      <c r="P264" s="34">
        <f>'Headcount_Opex_Build'!P11</f>
        <v/>
      </c>
      <c r="Q264" s="34">
        <f>'Headcount_Opex_Build'!Q11</f>
        <v/>
      </c>
      <c r="R264" s="34">
        <f>'Headcount_Opex_Build'!R11</f>
        <v/>
      </c>
      <c r="S264" s="35">
        <f>S34</f>
        <v/>
      </c>
      <c r="T264" s="35">
        <f>T34</f>
        <v/>
      </c>
      <c r="U264" s="35">
        <f>U34</f>
        <v/>
      </c>
      <c r="V264" s="35">
        <f>V34</f>
        <v/>
      </c>
    </row>
    <row r="265">
      <c r="A265" s="4" t="inlineStr">
        <is>
          <t>s10_cph_snm</t>
        </is>
      </c>
      <c r="B265" s="24" t="inlineStr">
        <is>
          <t>SNM spend per employee</t>
        </is>
      </c>
      <c r="C265" s="4" t="inlineStr"/>
      <c r="G265" s="34">
        <f>'Headcount_Opex_Build'!G13</f>
        <v/>
      </c>
      <c r="H265" s="34">
        <f>'Headcount_Opex_Build'!H13</f>
        <v/>
      </c>
      <c r="I265" s="34">
        <f>'Headcount_Opex_Build'!I13</f>
        <v/>
      </c>
      <c r="J265" s="34">
        <f>'Headcount_Opex_Build'!J13</f>
        <v/>
      </c>
      <c r="K265" s="34">
        <f>'Headcount_Opex_Build'!K13</f>
        <v/>
      </c>
      <c r="L265" s="34">
        <f>'Headcount_Opex_Build'!L13</f>
        <v/>
      </c>
      <c r="M265" s="34">
        <f>'Headcount_Opex_Build'!M13</f>
        <v/>
      </c>
      <c r="N265" s="34">
        <f>'Headcount_Opex_Build'!N13</f>
        <v/>
      </c>
      <c r="O265" s="34">
        <f>'Headcount_Opex_Build'!O13</f>
        <v/>
      </c>
      <c r="P265" s="34">
        <f>'Headcount_Opex_Build'!P13</f>
        <v/>
      </c>
      <c r="Q265" s="34">
        <f>'Headcount_Opex_Build'!Q13</f>
        <v/>
      </c>
      <c r="R265" s="34">
        <f>'Headcount_Opex_Build'!R13</f>
        <v/>
      </c>
      <c r="S265" s="35">
        <f>S36</f>
        <v/>
      </c>
      <c r="T265" s="35">
        <f>T36</f>
        <v/>
      </c>
      <c r="U265" s="35">
        <f>U36</f>
        <v/>
      </c>
      <c r="V265" s="35">
        <f>V36</f>
        <v/>
      </c>
    </row>
    <row r="266">
      <c r="A266" s="4" t="inlineStr">
        <is>
          <t>s10_cph_gna</t>
        </is>
      </c>
      <c r="B266" s="24" t="inlineStr">
        <is>
          <t>GNA spend per employee</t>
        </is>
      </c>
      <c r="C266" s="4" t="inlineStr"/>
      <c r="G266" s="34">
        <f>'Headcount_Opex_Build'!G15</f>
        <v/>
      </c>
      <c r="H266" s="34">
        <f>'Headcount_Opex_Build'!H15</f>
        <v/>
      </c>
      <c r="I266" s="34">
        <f>'Headcount_Opex_Build'!I15</f>
        <v/>
      </c>
      <c r="J266" s="34">
        <f>'Headcount_Opex_Build'!J15</f>
        <v/>
      </c>
      <c r="K266" s="34">
        <f>'Headcount_Opex_Build'!K15</f>
        <v/>
      </c>
      <c r="L266" s="34">
        <f>'Headcount_Opex_Build'!L15</f>
        <v/>
      </c>
      <c r="M266" s="34">
        <f>'Headcount_Opex_Build'!M15</f>
        <v/>
      </c>
      <c r="N266" s="34">
        <f>'Headcount_Opex_Build'!N15</f>
        <v/>
      </c>
      <c r="O266" s="34">
        <f>'Headcount_Opex_Build'!O15</f>
        <v/>
      </c>
      <c r="P266" s="34">
        <f>'Headcount_Opex_Build'!P15</f>
        <v/>
      </c>
      <c r="Q266" s="34">
        <f>'Headcount_Opex_Build'!Q15</f>
        <v/>
      </c>
      <c r="R266" s="34">
        <f>'Headcount_Opex_Build'!R15</f>
        <v/>
      </c>
      <c r="S266" s="35">
        <f>S38</f>
        <v/>
      </c>
      <c r="T266" s="35">
        <f>T38</f>
        <v/>
      </c>
      <c r="U266" s="35">
        <f>U38</f>
        <v/>
      </c>
      <c r="V266" s="35">
        <f>V38</f>
        <v/>
      </c>
    </row>
    <row r="267">
      <c r="A267" s="4" t="inlineStr">
        <is>
          <t>s10_ng_opex</t>
        </is>
      </c>
      <c r="B267" s="24" t="inlineStr">
        <is>
          <t>Non-GAAP operating expenses</t>
        </is>
      </c>
      <c r="C267" s="4" t="inlineStr"/>
      <c r="S267" s="27">
        <f>S263*(S264+S265+S266)</f>
        <v/>
      </c>
      <c r="T267" s="27">
        <f>T263*(T264+T265+T266)</f>
        <v/>
      </c>
      <c r="U267" s="27">
        <f>U263*(U264+U265+U266)</f>
        <v/>
      </c>
      <c r="V267" s="27">
        <f>V263*(V264+V265+V266)</f>
        <v/>
      </c>
    </row>
    <row r="268">
      <c r="A268" s="4" t="inlineStr">
        <is>
          <t>s10_amort</t>
        </is>
      </c>
      <c r="B268" s="24" t="inlineStr">
        <is>
          <t>Amortization</t>
        </is>
      </c>
      <c r="C268" s="4" t="inlineStr"/>
      <c r="S268" s="27">
        <f>S22</f>
        <v/>
      </c>
      <c r="T268" s="27">
        <f>T22</f>
        <v/>
      </c>
      <c r="U268" s="27">
        <f>U22</f>
        <v/>
      </c>
      <c r="V268" s="27">
        <f>V22</f>
        <v/>
      </c>
    </row>
    <row r="269">
      <c r="A269" s="4" t="inlineStr">
        <is>
          <t>s10_ng_op</t>
        </is>
      </c>
      <c r="B269" s="2" t="inlineStr">
        <is>
          <t>Non-GAAP operating income</t>
        </is>
      </c>
      <c r="C269" s="4" t="inlineStr"/>
      <c r="S269" s="29">
        <f>S262-S267+S268</f>
        <v/>
      </c>
      <c r="T269" s="29">
        <f>T262-T267+T268</f>
        <v/>
      </c>
      <c r="U269" s="29">
        <f>U262-U267+U268</f>
        <v/>
      </c>
      <c r="V269" s="29">
        <f>V262-V267+V268</f>
        <v/>
      </c>
    </row>
    <row r="270">
      <c r="A270" s="4" t="inlineStr">
        <is>
          <t>s10_fcf</t>
        </is>
      </c>
      <c r="B270" s="2" t="inlineStr">
        <is>
          <t>Free cash flow</t>
        </is>
      </c>
      <c r="C270" s="4" t="inlineStr"/>
      <c r="S270" s="29">
        <f>S269*S41</f>
        <v/>
      </c>
      <c r="T270" s="29">
        <f>T269*T41</f>
        <v/>
      </c>
      <c r="U270" s="29">
        <f>U269*U41</f>
        <v/>
      </c>
      <c r="V270" s="29">
        <f>V269*V41</f>
        <v/>
      </c>
    </row>
    <row r="271">
      <c r="A271" s="4" t="inlineStr">
        <is>
          <t>h_br</t>
        </is>
      </c>
      <c r="B271" s="2" t="inlineStr">
        <is>
          <t>C. Budget-vs-actual bridge (sequential substitution in the order shown; the attribution depends on that order)</t>
        </is>
      </c>
      <c r="C271" s="4" t="inlineStr"/>
    </row>
    <row r="272">
      <c r="A272" s="4" t="inlineStr">
        <is>
          <t>br_revenue_plan</t>
        </is>
      </c>
      <c r="B272" s="2" t="inlineStr">
        <is>
          <t>Revenue: frozen plan</t>
        </is>
      </c>
      <c r="C272" s="4" t="inlineStr"/>
      <c r="S272" s="29">
        <f>S61</f>
        <v/>
      </c>
      <c r="T272" s="29">
        <f>T61</f>
        <v/>
      </c>
      <c r="U272" s="29">
        <f>U61</f>
        <v/>
      </c>
      <c r="V272" s="29">
        <f>V61</f>
        <v/>
      </c>
      <c r="W272" s="29">
        <f>SUM(S272:V272)</f>
        <v/>
      </c>
    </row>
    <row r="273">
      <c r="A273" s="4" t="inlineStr">
        <is>
          <t>br_revenue_expansion</t>
        </is>
      </c>
      <c r="B273" s="24" t="inlineStr">
        <is>
          <t xml:space="preserve">  Expansion of existing customers (NRR / usage)</t>
        </is>
      </c>
      <c r="C273" s="4" t="inlineStr"/>
      <c r="S273" s="27">
        <f>S81-S61</f>
        <v/>
      </c>
      <c r="T273" s="27">
        <f>T81-T61</f>
        <v/>
      </c>
      <c r="U273" s="27">
        <f>U81-U61</f>
        <v/>
      </c>
      <c r="V273" s="27">
        <f>V81-V61</f>
        <v/>
      </c>
      <c r="W273" s="29">
        <f>SUM(S273:V273)</f>
        <v/>
      </c>
    </row>
    <row r="274">
      <c r="A274" s="4" t="inlineStr">
        <is>
          <t>br_revenue_new_logo_volume</t>
        </is>
      </c>
      <c r="B274" s="24" t="inlineStr">
        <is>
          <t xml:space="preserve">  New-logo volume</t>
        </is>
      </c>
      <c r="C274" s="4" t="inlineStr"/>
      <c r="S274" s="27">
        <f>S101-S81</f>
        <v/>
      </c>
      <c r="T274" s="27">
        <f>T101-T81</f>
        <v/>
      </c>
      <c r="U274" s="27">
        <f>U101-U81</f>
        <v/>
      </c>
      <c r="V274" s="27">
        <f>V101-V81</f>
        <v/>
      </c>
      <c r="W274" s="29">
        <f>SUM(S274:V274)</f>
        <v/>
      </c>
    </row>
    <row r="275">
      <c r="A275" s="4" t="inlineStr">
        <is>
          <t>br_revenue_new_logo_arr</t>
        </is>
      </c>
      <c r="B275" s="24" t="inlineStr">
        <is>
          <t xml:space="preserve">  ARR per new logo</t>
        </is>
      </c>
      <c r="C275" s="4" t="inlineStr"/>
      <c r="S275" s="27">
        <f>S121-S101</f>
        <v/>
      </c>
      <c r="T275" s="27">
        <f>T121-T101</f>
        <v/>
      </c>
      <c r="U275" s="27">
        <f>U121-U101</f>
        <v/>
      </c>
      <c r="V275" s="27">
        <f>V121-V101</f>
        <v/>
      </c>
      <c r="W275" s="29">
        <f>SUM(S275:V275)</f>
        <v/>
      </c>
    </row>
    <row r="276">
      <c r="A276" s="4" t="inlineStr">
        <is>
          <t>br_revenue_ea_mix_timing</t>
        </is>
      </c>
      <c r="B276" s="24" t="inlineStr">
        <is>
          <t xml:space="preserve">  Enterprise Advanced mix / timing</t>
        </is>
      </c>
      <c r="C276" s="4" t="inlineStr"/>
      <c r="S276" s="27">
        <f>S141-S121</f>
        <v/>
      </c>
      <c r="T276" s="27">
        <f>T141-T121</f>
        <v/>
      </c>
      <c r="U276" s="27">
        <f>U141-U121</f>
        <v/>
      </c>
      <c r="V276" s="27">
        <f>V141-V121</f>
        <v/>
      </c>
      <c r="W276" s="29">
        <f>SUM(S276:V276)</f>
        <v/>
      </c>
    </row>
    <row r="277">
      <c r="A277" s="4" t="inlineStr">
        <is>
          <t>br_revenue_services</t>
        </is>
      </c>
      <c r="B277" s="24" t="inlineStr">
        <is>
          <t xml:space="preserve">  Services</t>
        </is>
      </c>
      <c r="C277" s="4" t="inlineStr"/>
      <c r="S277" s="27">
        <f>S161-S141</f>
        <v/>
      </c>
      <c r="T277" s="27">
        <f>T161-T141</f>
        <v/>
      </c>
      <c r="U277" s="27">
        <f>U161-U141</f>
        <v/>
      </c>
      <c r="V277" s="27">
        <f>V161-V141</f>
        <v/>
      </c>
      <c r="W277" s="29">
        <f>SUM(S277:V277)</f>
        <v/>
      </c>
    </row>
    <row r="278">
      <c r="A278" s="4" t="inlineStr">
        <is>
          <t>br_revenue_actual</t>
        </is>
      </c>
      <c r="B278" s="2" t="inlineStr">
        <is>
          <t>Revenue: actual</t>
        </is>
      </c>
      <c r="C278" s="4" t="inlineStr"/>
      <c r="S278" s="29">
        <f>S30</f>
        <v/>
      </c>
      <c r="T278" s="29">
        <f>T30</f>
        <v/>
      </c>
      <c r="U278" s="29">
        <f>U30</f>
        <v/>
      </c>
      <c r="V278" s="29">
        <f>V30</f>
        <v/>
      </c>
      <c r="W278" s="29">
        <f>SUM(S278:V278)</f>
        <v/>
      </c>
    </row>
    <row r="279">
      <c r="A279" s="4" t="inlineStr">
        <is>
          <t>br_revenue_check</t>
        </is>
      </c>
      <c r="B279" s="24" t="inlineStr">
        <is>
          <t>Revenue: plan + components - actual (should be 0)</t>
        </is>
      </c>
      <c r="C279" s="4" t="inlineStr"/>
      <c r="S279" s="27">
        <f>S161-S30</f>
        <v/>
      </c>
      <c r="T279" s="27">
        <f>T161-T30</f>
        <v/>
      </c>
      <c r="U279" s="27">
        <f>U161-U30</f>
        <v/>
      </c>
      <c r="V279" s="27">
        <f>V161-V30</f>
        <v/>
      </c>
      <c r="W279" s="29">
        <f>SUM(S279:V279)</f>
        <v/>
      </c>
    </row>
    <row r="280">
      <c r="A280" s="4" t="inlineStr">
        <is>
          <t>br_ng_op_inc_plan</t>
        </is>
      </c>
      <c r="B280" s="2" t="inlineStr">
        <is>
          <t>Non-GAAP operating income: frozen plan</t>
        </is>
      </c>
      <c r="C280" s="4" t="inlineStr"/>
      <c r="S280" s="29">
        <f>S69</f>
        <v/>
      </c>
      <c r="T280" s="29">
        <f>T69</f>
        <v/>
      </c>
      <c r="U280" s="29">
        <f>U69</f>
        <v/>
      </c>
      <c r="V280" s="29">
        <f>V69</f>
        <v/>
      </c>
      <c r="W280" s="29">
        <f>SUM(S280:V280)</f>
        <v/>
      </c>
    </row>
    <row r="281">
      <c r="A281" s="4" t="inlineStr">
        <is>
          <t>br_ng_op_inc_expansion</t>
        </is>
      </c>
      <c r="B281" s="24" t="inlineStr">
        <is>
          <t xml:space="preserve">  Expansion of existing customers (NRR / usage)</t>
        </is>
      </c>
      <c r="C281" s="4" t="inlineStr"/>
      <c r="S281" s="27">
        <f>S89-S69</f>
        <v/>
      </c>
      <c r="T281" s="27">
        <f>T89-T69</f>
        <v/>
      </c>
      <c r="U281" s="27">
        <f>U89-U69</f>
        <v/>
      </c>
      <c r="V281" s="27">
        <f>V89-V69</f>
        <v/>
      </c>
      <c r="W281" s="29">
        <f>SUM(S281:V281)</f>
        <v/>
      </c>
    </row>
    <row r="282">
      <c r="A282" s="4" t="inlineStr">
        <is>
          <t>br_ng_op_inc_new_logo_volume</t>
        </is>
      </c>
      <c r="B282" s="24" t="inlineStr">
        <is>
          <t xml:space="preserve">  New-logo volume</t>
        </is>
      </c>
      <c r="C282" s="4" t="inlineStr"/>
      <c r="S282" s="27">
        <f>S109-S89</f>
        <v/>
      </c>
      <c r="T282" s="27">
        <f>T109-T89</f>
        <v/>
      </c>
      <c r="U282" s="27">
        <f>U109-U89</f>
        <v/>
      </c>
      <c r="V282" s="27">
        <f>V109-V89</f>
        <v/>
      </c>
      <c r="W282" s="29">
        <f>SUM(S282:V282)</f>
        <v/>
      </c>
    </row>
    <row r="283">
      <c r="A283" s="4" t="inlineStr">
        <is>
          <t>br_ng_op_inc_new_logo_arr</t>
        </is>
      </c>
      <c r="B283" s="24" t="inlineStr">
        <is>
          <t xml:space="preserve">  ARR per new logo</t>
        </is>
      </c>
      <c r="C283" s="4" t="inlineStr"/>
      <c r="S283" s="27">
        <f>S129-S109</f>
        <v/>
      </c>
      <c r="T283" s="27">
        <f>T129-T109</f>
        <v/>
      </c>
      <c r="U283" s="27">
        <f>U129-U109</f>
        <v/>
      </c>
      <c r="V283" s="27">
        <f>V129-V109</f>
        <v/>
      </c>
      <c r="W283" s="29">
        <f>SUM(S283:V283)</f>
        <v/>
      </c>
    </row>
    <row r="284">
      <c r="A284" s="4" t="inlineStr">
        <is>
          <t>br_ng_op_inc_ea_mix_timing</t>
        </is>
      </c>
      <c r="B284" s="24" t="inlineStr">
        <is>
          <t xml:space="preserve">  Enterprise Advanced mix / timing</t>
        </is>
      </c>
      <c r="C284" s="4" t="inlineStr"/>
      <c r="S284" s="27">
        <f>S149-S129</f>
        <v/>
      </c>
      <c r="T284" s="27">
        <f>T149-T129</f>
        <v/>
      </c>
      <c r="U284" s="27">
        <f>U149-U129</f>
        <v/>
      </c>
      <c r="V284" s="27">
        <f>V149-V129</f>
        <v/>
      </c>
      <c r="W284" s="29">
        <f>SUM(S284:V284)</f>
        <v/>
      </c>
    </row>
    <row r="285">
      <c r="A285" s="4" t="inlineStr">
        <is>
          <t>br_ng_op_inc_services</t>
        </is>
      </c>
      <c r="B285" s="24" t="inlineStr">
        <is>
          <t xml:space="preserve">  Services</t>
        </is>
      </c>
      <c r="C285" s="4" t="inlineStr"/>
      <c r="S285" s="27">
        <f>S169-S149</f>
        <v/>
      </c>
      <c r="T285" s="27">
        <f>T169-T149</f>
        <v/>
      </c>
      <c r="U285" s="27">
        <f>U169-U149</f>
        <v/>
      </c>
      <c r="V285" s="27">
        <f>V169-V149</f>
        <v/>
      </c>
      <c r="W285" s="29">
        <f>SUM(S285:V285)</f>
        <v/>
      </c>
    </row>
    <row r="286">
      <c r="A286" s="4" t="inlineStr">
        <is>
          <t>br_ng_op_inc_gross_margin</t>
        </is>
      </c>
      <c r="B286" s="24" t="inlineStr">
        <is>
          <t xml:space="preserve">  Gross margin rate</t>
        </is>
      </c>
      <c r="C286" s="4" t="inlineStr"/>
      <c r="S286" s="27">
        <f>S189-S169</f>
        <v/>
      </c>
      <c r="T286" s="27">
        <f>T189-T169</f>
        <v/>
      </c>
      <c r="U286" s="27">
        <f>U189-U169</f>
        <v/>
      </c>
      <c r="V286" s="27">
        <f>V189-V169</f>
        <v/>
      </c>
      <c r="W286" s="29">
        <f>SUM(S286:V286)</f>
        <v/>
      </c>
    </row>
    <row r="287">
      <c r="A287" s="4" t="inlineStr">
        <is>
          <t>br_ng_op_inc_headcount_pace</t>
        </is>
      </c>
      <c r="B287" s="24" t="inlineStr">
        <is>
          <t xml:space="preserve">  Headcount pace</t>
        </is>
      </c>
      <c r="C287" s="4" t="inlineStr"/>
      <c r="S287" s="27">
        <f>S209-S189</f>
        <v/>
      </c>
      <c r="T287" s="27">
        <f>T209-T189</f>
        <v/>
      </c>
      <c r="U287" s="27">
        <f>U209-U189</f>
        <v/>
      </c>
      <c r="V287" s="27">
        <f>V209-V189</f>
        <v/>
      </c>
      <c r="W287" s="29">
        <f>SUM(S287:V287)</f>
        <v/>
      </c>
    </row>
    <row r="288">
      <c r="A288" s="4" t="inlineStr">
        <is>
          <t>br_ng_op_inc_cost_per_head</t>
        </is>
      </c>
      <c r="B288" s="24" t="inlineStr">
        <is>
          <t xml:space="preserve">  Cost per head</t>
        </is>
      </c>
      <c r="C288" s="4" t="inlineStr"/>
      <c r="S288" s="27">
        <f>S229-S209</f>
        <v/>
      </c>
      <c r="T288" s="27">
        <f>T229-T209</f>
        <v/>
      </c>
      <c r="U288" s="27">
        <f>U229-U209</f>
        <v/>
      </c>
      <c r="V288" s="27">
        <f>V229-V209</f>
        <v/>
      </c>
      <c r="W288" s="29">
        <f>SUM(S288:V288)</f>
        <v/>
      </c>
    </row>
    <row r="289">
      <c r="A289" s="4" t="inlineStr">
        <is>
          <t>br_ng_op_inc_amortization</t>
        </is>
      </c>
      <c r="B289" s="24" t="inlineStr">
        <is>
          <t xml:space="preserve">  Amortization</t>
        </is>
      </c>
      <c r="C289" s="4" t="inlineStr"/>
      <c r="S289" s="27">
        <f>S249-S229</f>
        <v/>
      </c>
      <c r="T289" s="27">
        <f>T249-T229</f>
        <v/>
      </c>
      <c r="U289" s="27">
        <f>U249-U229</f>
        <v/>
      </c>
      <c r="V289" s="27">
        <f>V249-V229</f>
        <v/>
      </c>
      <c r="W289" s="29">
        <f>SUM(S289:V289)</f>
        <v/>
      </c>
    </row>
    <row r="290">
      <c r="A290" s="4" t="inlineStr">
        <is>
          <t>br_ng_op_inc_actual</t>
        </is>
      </c>
      <c r="B290" s="2" t="inlineStr">
        <is>
          <t>Non-GAAP operating income: actual</t>
        </is>
      </c>
      <c r="C290" s="4" t="inlineStr"/>
      <c r="S290" s="29">
        <f>S39</f>
        <v/>
      </c>
      <c r="T290" s="29">
        <f>T39</f>
        <v/>
      </c>
      <c r="U290" s="29">
        <f>U39</f>
        <v/>
      </c>
      <c r="V290" s="29">
        <f>V39</f>
        <v/>
      </c>
      <c r="W290" s="29">
        <f>SUM(S290:V290)</f>
        <v/>
      </c>
    </row>
    <row r="291">
      <c r="A291" s="4" t="inlineStr">
        <is>
          <t>br_ng_op_inc_check</t>
        </is>
      </c>
      <c r="B291" s="24" t="inlineStr">
        <is>
          <t>Non-GAAP operating income: plan + components - actual (should be 0)</t>
        </is>
      </c>
      <c r="C291" s="4" t="inlineStr"/>
      <c r="S291" s="27">
        <f>S249-S39</f>
        <v/>
      </c>
      <c r="T291" s="27">
        <f>T249-T39</f>
        <v/>
      </c>
      <c r="U291" s="27">
        <f>U249-U39</f>
        <v/>
      </c>
      <c r="V291" s="27">
        <f>V249-V39</f>
        <v/>
      </c>
      <c r="W291" s="29">
        <f>SUM(S291:V291)</f>
        <v/>
      </c>
    </row>
    <row r="292">
      <c r="A292" s="4" t="inlineStr">
        <is>
          <t>br_fcf_plan</t>
        </is>
      </c>
      <c r="B292" s="2" t="inlineStr">
        <is>
          <t>Free cash flow: frozen plan</t>
        </is>
      </c>
      <c r="C292" s="4" t="inlineStr"/>
      <c r="S292" s="29">
        <f>S70</f>
        <v/>
      </c>
      <c r="T292" s="29">
        <f>T70</f>
        <v/>
      </c>
      <c r="U292" s="29">
        <f>U70</f>
        <v/>
      </c>
      <c r="V292" s="29">
        <f>V70</f>
        <v/>
      </c>
      <c r="W292" s="29">
        <f>SUM(S292:V292)</f>
        <v/>
      </c>
    </row>
    <row r="293">
      <c r="A293" s="4" t="inlineStr">
        <is>
          <t>br_fcf_expansion</t>
        </is>
      </c>
      <c r="B293" s="24" t="inlineStr">
        <is>
          <t xml:space="preserve">  Expansion of existing customers (NRR / usage)</t>
        </is>
      </c>
      <c r="C293" s="4" t="inlineStr"/>
      <c r="S293" s="27">
        <f>S90-S70</f>
        <v/>
      </c>
      <c r="T293" s="27">
        <f>T90-T70</f>
        <v/>
      </c>
      <c r="U293" s="27">
        <f>U90-U70</f>
        <v/>
      </c>
      <c r="V293" s="27">
        <f>V90-V70</f>
        <v/>
      </c>
      <c r="W293" s="29">
        <f>SUM(S293:V293)</f>
        <v/>
      </c>
    </row>
    <row r="294">
      <c r="A294" s="4" t="inlineStr">
        <is>
          <t>br_fcf_new_logo_volume</t>
        </is>
      </c>
      <c r="B294" s="24" t="inlineStr">
        <is>
          <t xml:space="preserve">  New-logo volume</t>
        </is>
      </c>
      <c r="C294" s="4" t="inlineStr"/>
      <c r="S294" s="27">
        <f>S110-S90</f>
        <v/>
      </c>
      <c r="T294" s="27">
        <f>T110-T90</f>
        <v/>
      </c>
      <c r="U294" s="27">
        <f>U110-U90</f>
        <v/>
      </c>
      <c r="V294" s="27">
        <f>V110-V90</f>
        <v/>
      </c>
      <c r="W294" s="29">
        <f>SUM(S294:V294)</f>
        <v/>
      </c>
    </row>
    <row r="295">
      <c r="A295" s="4" t="inlineStr">
        <is>
          <t>br_fcf_new_logo_arr</t>
        </is>
      </c>
      <c r="B295" s="24" t="inlineStr">
        <is>
          <t xml:space="preserve">  ARR per new logo</t>
        </is>
      </c>
      <c r="C295" s="4" t="inlineStr"/>
      <c r="S295" s="27">
        <f>S130-S110</f>
        <v/>
      </c>
      <c r="T295" s="27">
        <f>T130-T110</f>
        <v/>
      </c>
      <c r="U295" s="27">
        <f>U130-U110</f>
        <v/>
      </c>
      <c r="V295" s="27">
        <f>V130-V110</f>
        <v/>
      </c>
      <c r="W295" s="29">
        <f>SUM(S295:V295)</f>
        <v/>
      </c>
    </row>
    <row r="296">
      <c r="A296" s="4" t="inlineStr">
        <is>
          <t>br_fcf_ea_mix_timing</t>
        </is>
      </c>
      <c r="B296" s="24" t="inlineStr">
        <is>
          <t xml:space="preserve">  Enterprise Advanced mix / timing</t>
        </is>
      </c>
      <c r="C296" s="4" t="inlineStr"/>
      <c r="S296" s="27">
        <f>S150-S130</f>
        <v/>
      </c>
      <c r="T296" s="27">
        <f>T150-T130</f>
        <v/>
      </c>
      <c r="U296" s="27">
        <f>U150-U130</f>
        <v/>
      </c>
      <c r="V296" s="27">
        <f>V150-V130</f>
        <v/>
      </c>
      <c r="W296" s="29">
        <f>SUM(S296:V296)</f>
        <v/>
      </c>
    </row>
    <row r="297">
      <c r="A297" s="4" t="inlineStr">
        <is>
          <t>br_fcf_services</t>
        </is>
      </c>
      <c r="B297" s="24" t="inlineStr">
        <is>
          <t xml:space="preserve">  Services</t>
        </is>
      </c>
      <c r="C297" s="4" t="inlineStr"/>
      <c r="S297" s="27">
        <f>S170-S150</f>
        <v/>
      </c>
      <c r="T297" s="27">
        <f>T170-T150</f>
        <v/>
      </c>
      <c r="U297" s="27">
        <f>U170-U150</f>
        <v/>
      </c>
      <c r="V297" s="27">
        <f>V170-V150</f>
        <v/>
      </c>
      <c r="W297" s="29">
        <f>SUM(S297:V297)</f>
        <v/>
      </c>
    </row>
    <row r="298">
      <c r="A298" s="4" t="inlineStr">
        <is>
          <t>br_fcf_gross_margin</t>
        </is>
      </c>
      <c r="B298" s="24" t="inlineStr">
        <is>
          <t xml:space="preserve">  Gross margin rate</t>
        </is>
      </c>
      <c r="C298" s="4" t="inlineStr"/>
      <c r="S298" s="27">
        <f>S190-S170</f>
        <v/>
      </c>
      <c r="T298" s="27">
        <f>T190-T170</f>
        <v/>
      </c>
      <c r="U298" s="27">
        <f>U190-U170</f>
        <v/>
      </c>
      <c r="V298" s="27">
        <f>V190-V170</f>
        <v/>
      </c>
      <c r="W298" s="29">
        <f>SUM(S298:V298)</f>
        <v/>
      </c>
    </row>
    <row r="299">
      <c r="A299" s="4" t="inlineStr">
        <is>
          <t>br_fcf_headcount_pace</t>
        </is>
      </c>
      <c r="B299" s="24" t="inlineStr">
        <is>
          <t xml:space="preserve">  Headcount pace</t>
        </is>
      </c>
      <c r="C299" s="4" t="inlineStr"/>
      <c r="S299" s="27">
        <f>S210-S190</f>
        <v/>
      </c>
      <c r="T299" s="27">
        <f>T210-T190</f>
        <v/>
      </c>
      <c r="U299" s="27">
        <f>U210-U190</f>
        <v/>
      </c>
      <c r="V299" s="27">
        <f>V210-V190</f>
        <v/>
      </c>
      <c r="W299" s="29">
        <f>SUM(S299:V299)</f>
        <v/>
      </c>
    </row>
    <row r="300">
      <c r="A300" s="4" t="inlineStr">
        <is>
          <t>br_fcf_cost_per_head</t>
        </is>
      </c>
      <c r="B300" s="24" t="inlineStr">
        <is>
          <t xml:space="preserve">  Cost per head</t>
        </is>
      </c>
      <c r="C300" s="4" t="inlineStr"/>
      <c r="S300" s="27">
        <f>S230-S210</f>
        <v/>
      </c>
      <c r="T300" s="27">
        <f>T230-T210</f>
        <v/>
      </c>
      <c r="U300" s="27">
        <f>U230-U210</f>
        <v/>
      </c>
      <c r="V300" s="27">
        <f>V230-V210</f>
        <v/>
      </c>
      <c r="W300" s="29">
        <f>SUM(S300:V300)</f>
        <v/>
      </c>
    </row>
    <row r="301">
      <c r="A301" s="4" t="inlineStr">
        <is>
          <t>br_fcf_amortization</t>
        </is>
      </c>
      <c r="B301" s="24" t="inlineStr">
        <is>
          <t xml:space="preserve">  Amortization</t>
        </is>
      </c>
      <c r="C301" s="4" t="inlineStr"/>
      <c r="S301" s="27">
        <f>S250-S230</f>
        <v/>
      </c>
      <c r="T301" s="27">
        <f>T250-T230</f>
        <v/>
      </c>
      <c r="U301" s="27">
        <f>U250-U230</f>
        <v/>
      </c>
      <c r="V301" s="27">
        <f>V250-V230</f>
        <v/>
      </c>
      <c r="W301" s="29">
        <f>SUM(S301:V301)</f>
        <v/>
      </c>
    </row>
    <row r="302">
      <c r="A302" s="4" t="inlineStr">
        <is>
          <t>br_fcf_fcf_conversion</t>
        </is>
      </c>
      <c r="B302" s="24" t="inlineStr">
        <is>
          <t xml:space="preserve">  FCF conversion</t>
        </is>
      </c>
      <c r="C302" s="4" t="inlineStr"/>
      <c r="S302" s="27">
        <f>S270-S250</f>
        <v/>
      </c>
      <c r="T302" s="27">
        <f>T270-T250</f>
        <v/>
      </c>
      <c r="U302" s="27">
        <f>U270-U250</f>
        <v/>
      </c>
      <c r="V302" s="27">
        <f>V270-V250</f>
        <v/>
      </c>
      <c r="W302" s="29">
        <f>SUM(S302:V302)</f>
        <v/>
      </c>
    </row>
    <row r="303">
      <c r="A303" s="4" t="inlineStr">
        <is>
          <t>br_fcf_actual</t>
        </is>
      </c>
      <c r="B303" s="2" t="inlineStr">
        <is>
          <t>Free cash flow: actual</t>
        </is>
      </c>
      <c r="C303" s="4" t="inlineStr"/>
      <c r="S303" s="29">
        <f>S40</f>
        <v/>
      </c>
      <c r="T303" s="29">
        <f>T40</f>
        <v/>
      </c>
      <c r="U303" s="29">
        <f>U40</f>
        <v/>
      </c>
      <c r="V303" s="29">
        <f>V40</f>
        <v/>
      </c>
      <c r="W303" s="29">
        <f>SUM(S303:V303)</f>
        <v/>
      </c>
    </row>
    <row r="304">
      <c r="A304" s="4" t="inlineStr">
        <is>
          <t>br_fcf_check</t>
        </is>
      </c>
      <c r="B304" s="24" t="inlineStr">
        <is>
          <t>Free cash flow: plan + components - actual (should be 0)</t>
        </is>
      </c>
      <c r="C304" s="4" t="inlineStr"/>
      <c r="S304" s="27">
        <f>S270-S40</f>
        <v/>
      </c>
      <c r="T304" s="27">
        <f>T270-T40</f>
        <v/>
      </c>
      <c r="U304" s="27">
        <f>U270-U40</f>
        <v/>
      </c>
      <c r="V304" s="27">
        <f>V270-V40</f>
        <v/>
      </c>
      <c r="W304" s="29">
        <f>SUM(S304:V304)</f>
        <v/>
      </c>
    </row>
    <row r="305">
      <c r="A305" s="4" t="inlineStr">
        <is>
          <t>h_sc</t>
        </is>
      </c>
      <c r="B305" s="2" t="inlineStr">
        <is>
          <t>D. Forecast scorecard: driver model vs naive baselines vs management guidance</t>
        </is>
      </c>
      <c r="C305" s="4" t="inlineStr"/>
    </row>
    <row r="306">
      <c r="A306" s="4" t="inlineStr">
        <is>
          <t>sc_actual</t>
        </is>
      </c>
      <c r="B306" s="2" t="inlineStr">
        <is>
          <t>Revenue, actual</t>
        </is>
      </c>
      <c r="C306" s="4" t="inlineStr"/>
      <c r="S306" s="29">
        <f>S30</f>
        <v/>
      </c>
      <c r="T306" s="29">
        <f>T30</f>
        <v/>
      </c>
      <c r="U306" s="29">
        <f>U30</f>
        <v/>
      </c>
      <c r="V306" s="29">
        <f>V30</f>
        <v/>
      </c>
      <c r="W306" s="29">
        <f>SUM(S306:V306)</f>
        <v/>
      </c>
    </row>
    <row r="307">
      <c r="A307" s="4" t="inlineStr">
        <is>
          <t>sc_model</t>
        </is>
      </c>
      <c r="B307" s="24" t="inlineStr">
        <is>
          <t>Revenue, driver model (selected scenario)</t>
        </is>
      </c>
      <c r="C307" s="4" t="inlineStr"/>
      <c r="S307" s="27">
        <f>'Operating_Model'!S12</f>
        <v/>
      </c>
      <c r="T307" s="27">
        <f>'Operating_Model'!T12</f>
        <v/>
      </c>
      <c r="U307" s="27">
        <f>'Operating_Model'!U12</f>
        <v/>
      </c>
      <c r="V307" s="27">
        <f>'Operating_Model'!V12</f>
        <v/>
      </c>
      <c r="W307" s="29">
        <f>SUM(S307:V307)</f>
        <v/>
      </c>
    </row>
    <row r="308">
      <c r="A308" s="4" t="inlineStr">
        <is>
          <t>sc_g_ttm</t>
        </is>
      </c>
      <c r="B308" s="24" t="inlineStr">
        <is>
          <t>Trailing-12-month revenue growth (baseline input)</t>
        </is>
      </c>
      <c r="C308" s="4" t="inlineStr"/>
      <c r="K308" s="36">
        <f>SUM('Operating_Model'!H12:K12)/SUM('Operating_Model'!D12:G12)-1</f>
        <v/>
      </c>
      <c r="L308" s="36">
        <f>SUM('Operating_Model'!I12:L12)/SUM('Operating_Model'!E12:H12)-1</f>
        <v/>
      </c>
      <c r="M308" s="36">
        <f>SUM('Operating_Model'!J12:M12)/SUM('Operating_Model'!F12:I12)-1</f>
        <v/>
      </c>
      <c r="N308" s="36">
        <f>SUM('Operating_Model'!K12:N12)/SUM('Operating_Model'!G12:J12)-1</f>
        <v/>
      </c>
      <c r="O308" s="36">
        <f>SUM('Operating_Model'!L12:O12)/SUM('Operating_Model'!H12:K12)-1</f>
        <v/>
      </c>
      <c r="P308" s="36">
        <f>SUM('Operating_Model'!M12:P12)/SUM('Operating_Model'!I12:L12)-1</f>
        <v/>
      </c>
      <c r="Q308" s="36">
        <f>SUM('Operating_Model'!N12:Q12)/SUM('Operating_Model'!J12:M12)-1</f>
        <v/>
      </c>
      <c r="R308" s="36">
        <f>SUM('Operating_Model'!O12:R12)/SUM('Operating_Model'!K12:N12)-1</f>
        <v/>
      </c>
    </row>
    <row r="309">
      <c r="A309" s="4" t="inlineStr">
        <is>
          <t>sc_seasonal</t>
        </is>
      </c>
      <c r="B309" s="24" t="inlineStr">
        <is>
          <t>Revenue, seasonal naive (same quarter last year x TTM growth)</t>
        </is>
      </c>
      <c r="C309" s="4" t="inlineStr"/>
      <c r="S309" s="27">
        <f>'Operating_Model'!O12*(1+$R$308)</f>
        <v/>
      </c>
      <c r="T309" s="27">
        <f>'Operating_Model'!P12*(1+$R$308)</f>
        <v/>
      </c>
      <c r="U309" s="27">
        <f>'Operating_Model'!Q12*(1+$R$308)</f>
        <v/>
      </c>
      <c r="V309" s="27">
        <f>'Operating_Model'!R12*(1+$R$308)</f>
        <v/>
      </c>
      <c r="W309" s="29">
        <f>SUM(S309:V309)</f>
        <v/>
      </c>
    </row>
    <row r="310">
      <c r="A310" s="4" t="inlineStr">
        <is>
          <t>sc_g_q</t>
        </is>
      </c>
      <c r="B310" s="24" t="inlineStr">
        <is>
          <t>Average q/q revenue growth over the last year (baseline input)</t>
        </is>
      </c>
      <c r="C310" s="4" t="inlineStr"/>
      <c r="H310" s="36">
        <f>('Operating_Model'!H12/'Operating_Model'!D12)^(1/Inputs_Scenarios!$C$6)-1</f>
        <v/>
      </c>
      <c r="I310" s="36">
        <f>('Operating_Model'!I12/'Operating_Model'!E12)^(1/Inputs_Scenarios!$C$6)-1</f>
        <v/>
      </c>
      <c r="J310" s="36">
        <f>('Operating_Model'!J12/'Operating_Model'!F12)^(1/Inputs_Scenarios!$C$6)-1</f>
        <v/>
      </c>
      <c r="K310" s="36">
        <f>('Operating_Model'!K12/'Operating_Model'!G12)^(1/Inputs_Scenarios!$C$6)-1</f>
        <v/>
      </c>
      <c r="L310" s="36">
        <f>('Operating_Model'!L12/'Operating_Model'!H12)^(1/Inputs_Scenarios!$C$6)-1</f>
        <v/>
      </c>
      <c r="M310" s="36">
        <f>('Operating_Model'!M12/'Operating_Model'!I12)^(1/Inputs_Scenarios!$C$6)-1</f>
        <v/>
      </c>
      <c r="N310" s="36">
        <f>('Operating_Model'!N12/'Operating_Model'!J12)^(1/Inputs_Scenarios!$C$6)-1</f>
        <v/>
      </c>
      <c r="O310" s="36">
        <f>('Operating_Model'!O12/'Operating_Model'!K12)^(1/Inputs_Scenarios!$C$6)-1</f>
        <v/>
      </c>
      <c r="P310" s="36">
        <f>('Operating_Model'!P12/'Operating_Model'!L12)^(1/Inputs_Scenarios!$C$6)-1</f>
        <v/>
      </c>
      <c r="Q310" s="36">
        <f>('Operating_Model'!Q12/'Operating_Model'!M12)^(1/Inputs_Scenarios!$C$6)-1</f>
        <v/>
      </c>
      <c r="R310" s="36">
        <f>('Operating_Model'!R12/'Operating_Model'!N12)^(1/Inputs_Scenarios!$C$6)-1</f>
        <v/>
      </c>
    </row>
    <row r="311">
      <c r="A311" s="4" t="inlineStr">
        <is>
          <t>sc_trend</t>
        </is>
      </c>
      <c r="B311" s="24" t="inlineStr">
        <is>
          <t>Revenue, trend naive (T0 x average q/q growth)</t>
        </is>
      </c>
      <c r="C311" s="4" t="inlineStr"/>
      <c r="D311" s="26">
        <f>'Operating_Model'!D12</f>
        <v/>
      </c>
      <c r="E311" s="26">
        <f>'Operating_Model'!E12</f>
        <v/>
      </c>
      <c r="F311" s="26">
        <f>'Operating_Model'!F12</f>
        <v/>
      </c>
      <c r="G311" s="26">
        <f>'Operating_Model'!G12</f>
        <v/>
      </c>
      <c r="H311" s="26">
        <f>'Operating_Model'!H12</f>
        <v/>
      </c>
      <c r="I311" s="26">
        <f>'Operating_Model'!I12</f>
        <v/>
      </c>
      <c r="J311" s="26">
        <f>'Operating_Model'!J12</f>
        <v/>
      </c>
      <c r="K311" s="26">
        <f>'Operating_Model'!K12</f>
        <v/>
      </c>
      <c r="L311" s="26">
        <f>'Operating_Model'!L12</f>
        <v/>
      </c>
      <c r="M311" s="26">
        <f>'Operating_Model'!M12</f>
        <v/>
      </c>
      <c r="N311" s="26">
        <f>'Operating_Model'!N12</f>
        <v/>
      </c>
      <c r="O311" s="26">
        <f>'Operating_Model'!O12</f>
        <v/>
      </c>
      <c r="P311" s="26">
        <f>'Operating_Model'!P12</f>
        <v/>
      </c>
      <c r="Q311" s="26">
        <f>'Operating_Model'!Q12</f>
        <v/>
      </c>
      <c r="R311" s="26">
        <f>'Operating_Model'!R12</f>
        <v/>
      </c>
      <c r="S311" s="27">
        <f>R311*(1+$R$310)</f>
        <v/>
      </c>
      <c r="T311" s="27">
        <f>S311*(1+$R$310)</f>
        <v/>
      </c>
      <c r="U311" s="27">
        <f>T311*(1+$R$310)</f>
        <v/>
      </c>
      <c r="V311" s="27">
        <f>U311*(1+$R$310)</f>
        <v/>
      </c>
      <c r="W311" s="29">
        <f>SUM(S311:V311)</f>
        <v/>
      </c>
    </row>
    <row r="312">
      <c r="A312" s="4" t="inlineStr">
        <is>
          <t>sc_guide_input</t>
        </is>
      </c>
      <c r="B312" s="24" t="inlineStr">
        <is>
          <t>Guidance midpoint known at cutoff (Q3 column: Q3 FY26; Q4 column: full year FY26)</t>
        </is>
      </c>
      <c r="C312" s="4" t="inlineStr">
        <is>
          <t>[Sourced - SEC Filing] 8-K 2025-08-26</t>
        </is>
      </c>
      <c r="S312" s="37" t="n">
        <v>589500000</v>
      </c>
      <c r="T312" s="37" t="n">
        <v>2350000000</v>
      </c>
    </row>
    <row r="313">
      <c r="A313" s="4" t="inlineStr">
        <is>
          <t>sc_guidance</t>
        </is>
      </c>
      <c r="B313" s="24" t="inlineStr">
        <is>
          <t>Revenue, management guidance (Q4 implied = FY - Q1 - Q2 - Q3 guide)</t>
        </is>
      </c>
      <c r="C313" s="4" t="inlineStr"/>
      <c r="S313" s="27">
        <f>S312</f>
        <v/>
      </c>
      <c r="T313" s="27">
        <f>T312-'Operating_Model'!Q12-'Operating_Model'!R12-S313</f>
        <v/>
      </c>
    </row>
    <row r="314">
      <c r="A314" s="4" t="inlineStr">
        <is>
          <t>sc_err_model</t>
        </is>
      </c>
      <c r="B314" s="24" t="inlineStr">
        <is>
          <t>Error: driver model</t>
        </is>
      </c>
      <c r="C314" s="4" t="inlineStr"/>
      <c r="S314" s="30">
        <f>S307/S306-1</f>
        <v/>
      </c>
      <c r="T314" s="30">
        <f>T307/T306-1</f>
        <v/>
      </c>
      <c r="U314" s="30">
        <f>U307/U306-1</f>
        <v/>
      </c>
      <c r="V314" s="30">
        <f>V307/V306-1</f>
        <v/>
      </c>
      <c r="W314" s="44">
        <f>SUMPRODUCT(ABS(S314:V314))/COUNT(S314:V314)</f>
        <v/>
      </c>
    </row>
    <row r="315">
      <c r="A315" s="4" t="inlineStr">
        <is>
          <t>sc_err_seasonal</t>
        </is>
      </c>
      <c r="B315" s="24" t="inlineStr">
        <is>
          <t>Error: seasonal naive</t>
        </is>
      </c>
      <c r="C315" s="4" t="inlineStr"/>
      <c r="S315" s="30">
        <f>S309/S306-1</f>
        <v/>
      </c>
      <c r="T315" s="30">
        <f>T309/T306-1</f>
        <v/>
      </c>
      <c r="U315" s="30">
        <f>U309/U306-1</f>
        <v/>
      </c>
      <c r="V315" s="30">
        <f>V309/V306-1</f>
        <v/>
      </c>
      <c r="W315" s="44">
        <f>SUMPRODUCT(ABS(S315:V315))/COUNT(S315:V315)</f>
        <v/>
      </c>
    </row>
    <row r="316">
      <c r="A316" s="4" t="inlineStr">
        <is>
          <t>sc_err_trend</t>
        </is>
      </c>
      <c r="B316" s="24" t="inlineStr">
        <is>
          <t>Error: trend naive</t>
        </is>
      </c>
      <c r="C316" s="4" t="inlineStr"/>
      <c r="S316" s="30">
        <f>S311/S306-1</f>
        <v/>
      </c>
      <c r="T316" s="30">
        <f>T311/T306-1</f>
        <v/>
      </c>
      <c r="U316" s="30">
        <f>U311/U306-1</f>
        <v/>
      </c>
      <c r="V316" s="30">
        <f>V311/V306-1</f>
        <v/>
      </c>
      <c r="W316" s="44">
        <f>SUMPRODUCT(ABS(S316:V316))/COUNT(S316:V316)</f>
        <v/>
      </c>
    </row>
    <row r="317">
      <c r="A317" s="4" t="inlineStr">
        <is>
          <t>sc_err_guidance</t>
        </is>
      </c>
      <c r="B317" s="24" t="inlineStr">
        <is>
          <t>Error: management guidance</t>
        </is>
      </c>
      <c r="C317" s="4" t="inlineStr"/>
      <c r="S317" s="30">
        <f>S313/S306-1</f>
        <v/>
      </c>
      <c r="T317" s="30">
        <f>T313/T306-1</f>
        <v/>
      </c>
      <c r="W317" s="44">
        <f>SUMPRODUCT(ABS(S317:V317))/COUNT(S317:V317)</f>
        <v/>
      </c>
    </row>
    <row r="318">
      <c r="A318" s="4" t="inlineStr">
        <is>
          <t>ng_actual_model</t>
        </is>
      </c>
      <c r="B318" s="24" t="inlineStr">
        <is>
          <t>Non-GAAP op. income, actual (model definition: + SBC + amortization)</t>
        </is>
      </c>
      <c r="C318" s="4" t="inlineStr"/>
      <c r="S318" s="27">
        <f>S39</f>
        <v/>
      </c>
      <c r="T318" s="27">
        <f>T39</f>
        <v/>
      </c>
      <c r="U318" s="27">
        <f>U39</f>
        <v/>
      </c>
      <c r="V318" s="27">
        <f>V39</f>
        <v/>
      </c>
      <c r="W318" s="29">
        <f>SUM(S318:V318)</f>
        <v/>
      </c>
    </row>
    <row r="319">
      <c r="A319" s="4" t="inlineStr">
        <is>
          <t>ng_model</t>
        </is>
      </c>
      <c r="B319" s="24" t="inlineStr">
        <is>
          <t>Non-GAAP op. income, driver model</t>
        </is>
      </c>
      <c r="C319" s="4" t="inlineStr"/>
      <c r="S319" s="27">
        <f>'Operating_Model'!S33</f>
        <v/>
      </c>
      <c r="T319" s="27">
        <f>'Operating_Model'!T33</f>
        <v/>
      </c>
      <c r="U319" s="27">
        <f>'Operating_Model'!U33</f>
        <v/>
      </c>
      <c r="V319" s="27">
        <f>'Operating_Model'!V33</f>
        <v/>
      </c>
      <c r="W319" s="29">
        <f>SUM(S319:V319)</f>
        <v/>
      </c>
    </row>
    <row r="320">
      <c r="A320" s="4" t="inlineStr">
        <is>
          <t>ng_err_model</t>
        </is>
      </c>
      <c r="B320" s="24" t="inlineStr">
        <is>
          <t>Error: driver model vs actual (model definition)</t>
        </is>
      </c>
      <c r="C320" s="4" t="inlineStr"/>
      <c r="S320" s="30">
        <f>S319/S318-1</f>
        <v/>
      </c>
      <c r="T320" s="30">
        <f>T319/T318-1</f>
        <v/>
      </c>
      <c r="U320" s="30">
        <f>U319/U318-1</f>
        <v/>
      </c>
      <c r="V320" s="30">
        <f>V319/V318-1</f>
        <v/>
      </c>
      <c r="W320" s="44">
        <f>SUMPRODUCT(ABS(S320:V320))/COUNT(S320:V320)</f>
        <v/>
      </c>
    </row>
    <row r="321">
      <c r="A321" s="4" t="inlineStr">
        <is>
          <t>ng_actual_company</t>
        </is>
      </c>
      <c r="B321" s="24" t="inlineStr">
        <is>
          <t>Non-GAAP op. income, as reported by MongoDB (company definition)</t>
        </is>
      </c>
      <c r="C321" s="4" t="inlineStr">
        <is>
          <t>[Sourced - SEC Filing] 8-K</t>
        </is>
      </c>
      <c r="F321" s="31" t="n">
        <v>-12400000</v>
      </c>
      <c r="G321" s="31" t="n">
        <v>19800000</v>
      </c>
      <c r="H321" s="31" t="n">
        <v>37200000</v>
      </c>
      <c r="I321" s="31" t="n">
        <v>43700000</v>
      </c>
      <c r="J321" s="31" t="n">
        <v>79100000</v>
      </c>
      <c r="K321" s="31" t="n">
        <v>78500000</v>
      </c>
      <c r="L321" s="31" t="n">
        <v>69200000</v>
      </c>
      <c r="M321" s="31" t="n">
        <v>32800000</v>
      </c>
      <c r="N321" s="31" t="n">
        <v>52500000</v>
      </c>
      <c r="O321" s="31" t="n">
        <v>101500000</v>
      </c>
      <c r="P321" s="31" t="n">
        <v>112500000</v>
      </c>
      <c r="Q321" s="31" t="n">
        <v>87400000</v>
      </c>
      <c r="R321" s="31" t="n">
        <v>86800000</v>
      </c>
      <c r="S321" s="37" t="n">
        <v>123100000</v>
      </c>
      <c r="T321" s="37" t="n">
        <v>158800000</v>
      </c>
      <c r="U321" s="37" t="n">
        <v>123200000</v>
      </c>
      <c r="V321" s="37" t="n">
        <v>185900000</v>
      </c>
      <c r="W321" s="29">
        <f>SUM(S321:V321)</f>
        <v/>
      </c>
    </row>
    <row r="322">
      <c r="A322" s="4" t="inlineStr">
        <is>
          <t>ng_guide_input</t>
        </is>
      </c>
      <c r="B322" s="24" t="inlineStr">
        <is>
          <t>Guidance midpoint known at cutoff (Q3 column: Q3 FY26; Q4 column: FY26)</t>
        </is>
      </c>
      <c r="C322" s="4" t="inlineStr">
        <is>
          <t>[Sourced - SEC Filing] 8-K 2025-08-26</t>
        </is>
      </c>
      <c r="S322" s="37" t="n">
        <v>68000000</v>
      </c>
      <c r="T322" s="37" t="n">
        <v>326000000</v>
      </c>
    </row>
    <row r="323">
      <c r="A323" s="4" t="inlineStr">
        <is>
          <t>ng_guidance</t>
        </is>
      </c>
      <c r="B323" s="24" t="inlineStr">
        <is>
          <t>Non-GAAP op. income, management guidance (company definition)</t>
        </is>
      </c>
      <c r="C323" s="4" t="inlineStr"/>
      <c r="S323" s="27">
        <f>S322</f>
        <v/>
      </c>
      <c r="T323" s="27">
        <f>T322-Q321-R321-S323</f>
        <v/>
      </c>
    </row>
    <row r="324">
      <c r="A324" s="4" t="inlineStr">
        <is>
          <t>ng_err_guidance</t>
        </is>
      </c>
      <c r="B324" s="24" t="inlineStr">
        <is>
          <t>Error: management guidance vs reported</t>
        </is>
      </c>
      <c r="C324" s="4" t="inlineStr"/>
      <c r="S324" s="30">
        <f>S323/S321-1</f>
        <v/>
      </c>
      <c r="T324" s="30">
        <f>T323/T321-1</f>
        <v/>
      </c>
      <c r="W324" s="44">
        <f>SUMPRODUCT(ABS(S324:V324))/COUNT(S324:V324)</f>
        <v/>
      </c>
    </row>
    <row r="325">
      <c r="A325" s="4" t="inlineStr">
        <is>
          <t>h_dt</t>
        </is>
      </c>
      <c r="B325" s="2" t="inlineStr">
        <is>
          <t>E. Damped-trend baseline (Holt, damped slope; parameters fitted to T0 on Inputs_Scenarios)</t>
        </is>
      </c>
      <c r="C325" s="4" t="inlineStr"/>
    </row>
    <row r="326">
      <c r="A326" s="4" t="inlineStr">
        <is>
          <t>dt_level</t>
        </is>
      </c>
      <c r="B326" s="24" t="inlineStr">
        <is>
          <t>Level</t>
        </is>
      </c>
      <c r="C326" s="4" t="inlineStr"/>
      <c r="D326" s="26">
        <f>'Operating_Model'!D12</f>
        <v/>
      </c>
      <c r="E326" s="26">
        <f>Inputs_Scenarios!$F$53*'Operating_Model'!E12+(1-Inputs_Scenarios!$F$53)*(D326+Inputs_Scenarios!$F$55*D327)</f>
        <v/>
      </c>
      <c r="F326" s="26">
        <f>Inputs_Scenarios!$F$53*'Operating_Model'!F12+(1-Inputs_Scenarios!$F$53)*(E326+Inputs_Scenarios!$F$55*E327)</f>
        <v/>
      </c>
      <c r="G326" s="26">
        <f>Inputs_Scenarios!$F$53*'Operating_Model'!G12+(1-Inputs_Scenarios!$F$53)*(F326+Inputs_Scenarios!$F$55*F327)</f>
        <v/>
      </c>
      <c r="H326" s="26">
        <f>Inputs_Scenarios!$F$53*'Operating_Model'!H12+(1-Inputs_Scenarios!$F$53)*(G326+Inputs_Scenarios!$F$55*G327)</f>
        <v/>
      </c>
      <c r="I326" s="26">
        <f>Inputs_Scenarios!$F$53*'Operating_Model'!I12+(1-Inputs_Scenarios!$F$53)*(H326+Inputs_Scenarios!$F$55*H327)</f>
        <v/>
      </c>
      <c r="J326" s="26">
        <f>Inputs_Scenarios!$F$53*'Operating_Model'!J12+(1-Inputs_Scenarios!$F$53)*(I326+Inputs_Scenarios!$F$55*I327)</f>
        <v/>
      </c>
      <c r="K326" s="26">
        <f>Inputs_Scenarios!$F$53*'Operating_Model'!K12+(1-Inputs_Scenarios!$F$53)*(J326+Inputs_Scenarios!$F$55*J327)</f>
        <v/>
      </c>
      <c r="L326" s="26">
        <f>Inputs_Scenarios!$F$53*'Operating_Model'!L12+(1-Inputs_Scenarios!$F$53)*(K326+Inputs_Scenarios!$F$55*K327)</f>
        <v/>
      </c>
      <c r="M326" s="26">
        <f>Inputs_Scenarios!$F$53*'Operating_Model'!M12+(1-Inputs_Scenarios!$F$53)*(L326+Inputs_Scenarios!$F$55*L327)</f>
        <v/>
      </c>
      <c r="N326" s="26">
        <f>Inputs_Scenarios!$F$53*'Operating_Model'!N12+(1-Inputs_Scenarios!$F$53)*(M326+Inputs_Scenarios!$F$55*M327)</f>
        <v/>
      </c>
      <c r="O326" s="26">
        <f>Inputs_Scenarios!$F$53*'Operating_Model'!O12+(1-Inputs_Scenarios!$F$53)*(N326+Inputs_Scenarios!$F$55*N327)</f>
        <v/>
      </c>
      <c r="P326" s="26">
        <f>Inputs_Scenarios!$F$53*'Operating_Model'!P12+(1-Inputs_Scenarios!$F$53)*(O326+Inputs_Scenarios!$F$55*O327)</f>
        <v/>
      </c>
      <c r="Q326" s="26">
        <f>Inputs_Scenarios!$F$53*'Operating_Model'!Q12+(1-Inputs_Scenarios!$F$53)*(P326+Inputs_Scenarios!$F$55*P327)</f>
        <v/>
      </c>
      <c r="R326" s="26">
        <f>Inputs_Scenarios!$F$53*'Operating_Model'!R12+(1-Inputs_Scenarios!$F$53)*(Q326+Inputs_Scenarios!$F$55*Q327)</f>
        <v/>
      </c>
    </row>
    <row r="327">
      <c r="A327" s="4" t="inlineStr">
        <is>
          <t>dt_trend</t>
        </is>
      </c>
      <c r="B327" s="24" t="inlineStr">
        <is>
          <t>Trend (per quarter)</t>
        </is>
      </c>
      <c r="C327" s="4" t="inlineStr"/>
      <c r="D327" s="26">
        <f>'Operating_Model'!E12-'Operating_Model'!D12</f>
        <v/>
      </c>
      <c r="E327" s="26">
        <f>Inputs_Scenarios!$F$54*(E326-D326)+(1-Inputs_Scenarios!$F$54)*Inputs_Scenarios!$F$55*D327</f>
        <v/>
      </c>
      <c r="F327" s="26">
        <f>Inputs_Scenarios!$F$54*(F326-E326)+(1-Inputs_Scenarios!$F$54)*Inputs_Scenarios!$F$55*E327</f>
        <v/>
      </c>
      <c r="G327" s="26">
        <f>Inputs_Scenarios!$F$54*(G326-F326)+(1-Inputs_Scenarios!$F$54)*Inputs_Scenarios!$F$55*F327</f>
        <v/>
      </c>
      <c r="H327" s="26">
        <f>Inputs_Scenarios!$F$54*(H326-G326)+(1-Inputs_Scenarios!$F$54)*Inputs_Scenarios!$F$55*G327</f>
        <v/>
      </c>
      <c r="I327" s="26">
        <f>Inputs_Scenarios!$F$54*(I326-H326)+(1-Inputs_Scenarios!$F$54)*Inputs_Scenarios!$F$55*H327</f>
        <v/>
      </c>
      <c r="J327" s="26">
        <f>Inputs_Scenarios!$F$54*(J326-I326)+(1-Inputs_Scenarios!$F$54)*Inputs_Scenarios!$F$55*I327</f>
        <v/>
      </c>
      <c r="K327" s="26">
        <f>Inputs_Scenarios!$F$54*(K326-J326)+(1-Inputs_Scenarios!$F$54)*Inputs_Scenarios!$F$55*J327</f>
        <v/>
      </c>
      <c r="L327" s="26">
        <f>Inputs_Scenarios!$F$54*(L326-K326)+(1-Inputs_Scenarios!$F$54)*Inputs_Scenarios!$F$55*K327</f>
        <v/>
      </c>
      <c r="M327" s="26">
        <f>Inputs_Scenarios!$F$54*(M326-L326)+(1-Inputs_Scenarios!$F$54)*Inputs_Scenarios!$F$55*L327</f>
        <v/>
      </c>
      <c r="N327" s="26">
        <f>Inputs_Scenarios!$F$54*(N326-M326)+(1-Inputs_Scenarios!$F$54)*Inputs_Scenarios!$F$55*M327</f>
        <v/>
      </c>
      <c r="O327" s="26">
        <f>Inputs_Scenarios!$F$54*(O326-N326)+(1-Inputs_Scenarios!$F$54)*Inputs_Scenarios!$F$55*N327</f>
        <v/>
      </c>
      <c r="P327" s="26">
        <f>Inputs_Scenarios!$F$54*(P326-O326)+(1-Inputs_Scenarios!$F$54)*Inputs_Scenarios!$F$55*O327</f>
        <v/>
      </c>
      <c r="Q327" s="26">
        <f>Inputs_Scenarios!$F$54*(Q326-P326)+(1-Inputs_Scenarios!$F$54)*Inputs_Scenarios!$F$55*P327</f>
        <v/>
      </c>
      <c r="R327" s="26">
        <f>Inputs_Scenarios!$F$54*(R326-Q326)+(1-Inputs_Scenarios!$F$54)*Inputs_Scenarios!$F$55*Q327</f>
        <v/>
      </c>
    </row>
    <row r="328">
      <c r="A328" s="4" t="inlineStr">
        <is>
          <t>dt_h</t>
        </is>
      </c>
      <c r="B328" s="24" t="inlineStr">
        <is>
          <t>Quarters ahead</t>
        </is>
      </c>
      <c r="C328" s="4" t="inlineStr"/>
      <c r="S328" s="45">
        <f>1</f>
        <v/>
      </c>
      <c r="T328" s="45">
        <f>S328+1</f>
        <v/>
      </c>
      <c r="U328" s="45">
        <f>T328+1</f>
        <v/>
      </c>
      <c r="V328" s="45">
        <f>U328+1</f>
        <v/>
      </c>
    </row>
    <row r="329">
      <c r="A329" s="4" t="inlineStr">
        <is>
          <t>sc_damped</t>
        </is>
      </c>
      <c r="B329" s="24" t="inlineStr">
        <is>
          <t>Revenue, damped trend (level at T0 + damped trend)</t>
        </is>
      </c>
      <c r="C329" s="4" t="inlineStr"/>
      <c r="D329" s="26">
        <f>D326</f>
        <v/>
      </c>
      <c r="E329" s="26">
        <f>E326</f>
        <v/>
      </c>
      <c r="F329" s="26">
        <f>F326</f>
        <v/>
      </c>
      <c r="G329" s="26">
        <f>G326</f>
        <v/>
      </c>
      <c r="H329" s="26">
        <f>H326</f>
        <v/>
      </c>
      <c r="I329" s="26">
        <f>I326</f>
        <v/>
      </c>
      <c r="J329" s="26">
        <f>J326</f>
        <v/>
      </c>
      <c r="K329" s="26">
        <f>K326</f>
        <v/>
      </c>
      <c r="L329" s="26">
        <f>L326</f>
        <v/>
      </c>
      <c r="M329" s="26">
        <f>M326</f>
        <v/>
      </c>
      <c r="N329" s="26">
        <f>N326</f>
        <v/>
      </c>
      <c r="O329" s="26">
        <f>O326</f>
        <v/>
      </c>
      <c r="P329" s="26">
        <f>P326</f>
        <v/>
      </c>
      <c r="Q329" s="26">
        <f>Q326</f>
        <v/>
      </c>
      <c r="R329" s="26">
        <f>R326</f>
        <v/>
      </c>
      <c r="S329" s="27">
        <f>R329+Inputs_Scenarios!$F$55^S328*$R$327</f>
        <v/>
      </c>
      <c r="T329" s="27">
        <f>S329+Inputs_Scenarios!$F$55^T328*$R$327</f>
        <v/>
      </c>
      <c r="U329" s="27">
        <f>T329+Inputs_Scenarios!$F$55^U328*$R$327</f>
        <v/>
      </c>
      <c r="V329" s="27">
        <f>U329+Inputs_Scenarios!$F$55^V328*$R$327</f>
        <v/>
      </c>
      <c r="W329" s="29">
        <f>SUM(S329:V329)</f>
        <v/>
      </c>
    </row>
    <row r="330">
      <c r="A330" s="4" t="inlineStr">
        <is>
          <t>sc_err_damped</t>
        </is>
      </c>
      <c r="B330" s="24" t="inlineStr">
        <is>
          <t>Error: damped trend</t>
        </is>
      </c>
      <c r="C330" s="4" t="inlineStr"/>
      <c r="S330" s="30">
        <f>S329/S306-1</f>
        <v/>
      </c>
      <c r="T330" s="30">
        <f>T329/T306-1</f>
        <v/>
      </c>
      <c r="U330" s="30">
        <f>U329/U306-1</f>
        <v/>
      </c>
      <c r="V330" s="30">
        <f>V329/V306-1</f>
        <v/>
      </c>
      <c r="W330" s="44">
        <f>SUMPRODUCT(ABS(S330:V330))/COUNT(S330:V330)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Unit economics (trailing 4 quarters) and the GTM capital-allocation case</t>
        </is>
      </c>
    </row>
    <row r="2">
      <c r="B2" s="4" t="inlineStr">
        <is>
          <t>Fiscal label</t>
        </is>
      </c>
      <c r="D2" s="2" t="inlineStr">
        <is>
          <t>Q4 FY22</t>
        </is>
      </c>
      <c r="E2" s="2" t="inlineStr">
        <is>
          <t>Q1 FY23</t>
        </is>
      </c>
      <c r="F2" s="2" t="inlineStr">
        <is>
          <t>Q2 FY23</t>
        </is>
      </c>
      <c r="G2" s="2" t="inlineStr">
        <is>
          <t>Q3 FY23</t>
        </is>
      </c>
      <c r="H2" s="2" t="inlineStr">
        <is>
          <t>Q4 FY23</t>
        </is>
      </c>
      <c r="I2" s="2" t="inlineStr">
        <is>
          <t>Q1 FY24</t>
        </is>
      </c>
      <c r="J2" s="2" t="inlineStr">
        <is>
          <t>Q2 FY24</t>
        </is>
      </c>
      <c r="K2" s="2" t="inlineStr">
        <is>
          <t>Q3 FY24</t>
        </is>
      </c>
      <c r="L2" s="2" t="inlineStr">
        <is>
          <t>Q4 FY24</t>
        </is>
      </c>
      <c r="M2" s="2" t="inlineStr">
        <is>
          <t>Q1 FY25</t>
        </is>
      </c>
      <c r="N2" s="2" t="inlineStr">
        <is>
          <t>Q2 FY25</t>
        </is>
      </c>
      <c r="O2" s="2" t="inlineStr">
        <is>
          <t>Q3 FY25</t>
        </is>
      </c>
      <c r="P2" s="2" t="inlineStr">
        <is>
          <t>Q4 FY25</t>
        </is>
      </c>
      <c r="Q2" s="2" t="inlineStr">
        <is>
          <t>Q1 FY26</t>
        </is>
      </c>
      <c r="R2" s="2" t="inlineStr">
        <is>
          <t>Q2 FY26</t>
        </is>
      </c>
      <c r="S2" s="22" t="inlineStr">
        <is>
          <t>Q3 FY26</t>
        </is>
      </c>
      <c r="T2" s="22" t="inlineStr">
        <is>
          <t>Q4 FY26</t>
        </is>
      </c>
      <c r="U2" s="22" t="inlineStr">
        <is>
          <t>Q1 FY27</t>
        </is>
      </c>
      <c r="V2" s="22" t="inlineStr">
        <is>
          <t>Q2 FY27</t>
        </is>
      </c>
    </row>
    <row r="3">
      <c r="B3" s="4" t="inlineStr">
        <is>
          <t>Period end</t>
        </is>
      </c>
      <c r="D3" s="2" t="inlineStr">
        <is>
          <t>2022-01-31</t>
        </is>
      </c>
      <c r="E3" s="2" t="inlineStr">
        <is>
          <t>2022-04-30</t>
        </is>
      </c>
      <c r="F3" s="2" t="inlineStr">
        <is>
          <t>2022-07-31</t>
        </is>
      </c>
      <c r="G3" s="2" t="inlineStr">
        <is>
          <t>2022-10-31</t>
        </is>
      </c>
      <c r="H3" s="2" t="inlineStr">
        <is>
          <t>2023-01-31</t>
        </is>
      </c>
      <c r="I3" s="2" t="inlineStr">
        <is>
          <t>2023-04-30</t>
        </is>
      </c>
      <c r="J3" s="2" t="inlineStr">
        <is>
          <t>2023-07-31</t>
        </is>
      </c>
      <c r="K3" s="2" t="inlineStr">
        <is>
          <t>2023-10-31</t>
        </is>
      </c>
      <c r="L3" s="2" t="inlineStr">
        <is>
          <t>2024-01-31</t>
        </is>
      </c>
      <c r="M3" s="2" t="inlineStr">
        <is>
          <t>2024-04-30</t>
        </is>
      </c>
      <c r="N3" s="2" t="inlineStr">
        <is>
          <t>2024-07-31</t>
        </is>
      </c>
      <c r="O3" s="2" t="inlineStr">
        <is>
          <t>2024-10-31</t>
        </is>
      </c>
      <c r="P3" s="2" t="inlineStr">
        <is>
          <t>2025-01-31</t>
        </is>
      </c>
      <c r="Q3" s="2" t="inlineStr">
        <is>
          <t>2025-04-30</t>
        </is>
      </c>
      <c r="R3" s="2" t="inlineStr">
        <is>
          <t>2025-07-31</t>
        </is>
      </c>
      <c r="S3" s="22" t="inlineStr">
        <is>
          <t>2025-10-31</t>
        </is>
      </c>
      <c r="T3" s="22" t="inlineStr">
        <is>
          <t>2026-01-31</t>
        </is>
      </c>
      <c r="U3" s="22" t="inlineStr">
        <is>
          <t>2026-04-30</t>
        </is>
      </c>
      <c r="V3" s="22" t="inlineStr">
        <is>
          <t>2026-07-31</t>
        </is>
      </c>
    </row>
    <row r="4">
      <c r="B4" s="4" t="inlineStr">
        <is>
          <t>Kind</t>
        </is>
      </c>
      <c r="D4" s="2" t="inlineStr">
        <is>
          <t>Actual</t>
        </is>
      </c>
      <c r="E4" s="2" t="inlineStr">
        <is>
          <t>Actual</t>
        </is>
      </c>
      <c r="F4" s="2" t="inlineStr">
        <is>
          <t>Actual</t>
        </is>
      </c>
      <c r="G4" s="2" t="inlineStr">
        <is>
          <t>Actual</t>
        </is>
      </c>
      <c r="H4" s="2" t="inlineStr">
        <is>
          <t>Actual</t>
        </is>
      </c>
      <c r="I4" s="2" t="inlineStr">
        <is>
          <t>Actual</t>
        </is>
      </c>
      <c r="J4" s="2" t="inlineStr">
        <is>
          <t>Actual</t>
        </is>
      </c>
      <c r="K4" s="2" t="inlineStr">
        <is>
          <t>Actual</t>
        </is>
      </c>
      <c r="L4" s="2" t="inlineStr">
        <is>
          <t>Actual</t>
        </is>
      </c>
      <c r="M4" s="2" t="inlineStr">
        <is>
          <t>Actual</t>
        </is>
      </c>
      <c r="N4" s="2" t="inlineStr">
        <is>
          <t>Actual</t>
        </is>
      </c>
      <c r="O4" s="2" t="inlineStr">
        <is>
          <t>Actual</t>
        </is>
      </c>
      <c r="P4" s="2" t="inlineStr">
        <is>
          <t>Actual</t>
        </is>
      </c>
      <c r="Q4" s="2" t="inlineStr">
        <is>
          <t>Actual</t>
        </is>
      </c>
      <c r="R4" s="2" t="inlineStr">
        <is>
          <t>Actual</t>
        </is>
      </c>
      <c r="S4" s="22" t="inlineStr">
        <is>
          <t>Forecast</t>
        </is>
      </c>
      <c r="T4" s="22" t="inlineStr">
        <is>
          <t>Forecast</t>
        </is>
      </c>
      <c r="U4" s="22" t="inlineStr">
        <is>
          <t>Forecast</t>
        </is>
      </c>
      <c r="V4" s="22" t="inlineStr">
        <is>
          <t>Forecast</t>
        </is>
      </c>
    </row>
    <row r="5">
      <c r="B5" s="4" t="inlineStr">
        <is>
          <t>Days</t>
        </is>
      </c>
      <c r="D5" s="5" t="n">
        <v>92</v>
      </c>
      <c r="E5" s="5" t="n">
        <v>89</v>
      </c>
      <c r="F5" s="5" t="n">
        <v>92</v>
      </c>
      <c r="G5" s="5" t="n">
        <v>92</v>
      </c>
      <c r="H5" s="5" t="n">
        <v>92</v>
      </c>
      <c r="I5" s="5" t="n">
        <v>89</v>
      </c>
      <c r="J5" s="5" t="n">
        <v>92</v>
      </c>
      <c r="K5" s="5" t="n">
        <v>92</v>
      </c>
      <c r="L5" s="5" t="n">
        <v>92</v>
      </c>
      <c r="M5" s="5" t="n">
        <v>90</v>
      </c>
      <c r="N5" s="5" t="n">
        <v>92</v>
      </c>
      <c r="O5" s="5" t="n">
        <v>92</v>
      </c>
      <c r="P5" s="5" t="n">
        <v>92</v>
      </c>
      <c r="Q5" s="5" t="n">
        <v>89</v>
      </c>
      <c r="R5" s="5" t="n">
        <v>92</v>
      </c>
      <c r="S5" s="23" t="n">
        <v>92</v>
      </c>
      <c r="T5" s="23" t="n">
        <v>92</v>
      </c>
      <c r="U5" s="23" t="n">
        <v>89</v>
      </c>
      <c r="V5" s="23" t="n">
        <v>92</v>
      </c>
    </row>
    <row r="6">
      <c r="B6" s="4" t="inlineStr">
        <is>
          <t>Fiscal q</t>
        </is>
      </c>
      <c r="D6" s="5" t="n">
        <v>4</v>
      </c>
      <c r="E6" s="5" t="n">
        <v>1</v>
      </c>
      <c r="F6" s="5" t="n">
        <v>2</v>
      </c>
      <c r="G6" s="5" t="n">
        <v>3</v>
      </c>
      <c r="H6" s="5" t="n">
        <v>4</v>
      </c>
      <c r="I6" s="5" t="n">
        <v>1</v>
      </c>
      <c r="J6" s="5" t="n">
        <v>2</v>
      </c>
      <c r="K6" s="5" t="n">
        <v>3</v>
      </c>
      <c r="L6" s="5" t="n">
        <v>4</v>
      </c>
      <c r="M6" s="5" t="n">
        <v>1</v>
      </c>
      <c r="N6" s="5" t="n">
        <v>2</v>
      </c>
      <c r="O6" s="5" t="n">
        <v>3</v>
      </c>
      <c r="P6" s="5" t="n">
        <v>4</v>
      </c>
      <c r="Q6" s="5" t="n">
        <v>1</v>
      </c>
      <c r="R6" s="5" t="n">
        <v>2</v>
      </c>
      <c r="S6" s="23" t="n">
        <v>3</v>
      </c>
      <c r="T6" s="23" t="n">
        <v>4</v>
      </c>
      <c r="U6" s="23" t="n">
        <v>1</v>
      </c>
      <c r="V6" s="23" t="n">
        <v>2</v>
      </c>
    </row>
    <row r="8">
      <c r="A8" s="4" t="inlineStr">
        <is>
          <t>h_ue</t>
        </is>
      </c>
      <c r="B8" s="2" t="inlineStr">
        <is>
          <t>A. SaaS efficiency scorecard (history: actuals as of cutoff; forecast: selected scenario)</t>
        </is>
      </c>
      <c r="C8" s="4" t="inlineStr"/>
    </row>
    <row r="9">
      <c r="A9" s="4" t="inlineStr">
        <is>
          <t>ue_snm_ng</t>
        </is>
      </c>
      <c r="B9" s="24" t="inlineStr">
        <is>
          <t>Non-GAAP sales and marketing</t>
        </is>
      </c>
      <c r="C9" s="4" t="inlineStr"/>
      <c r="D9" s="26">
        <f>'Operating_Model'!D25-'Operating_Model'!D22</f>
        <v/>
      </c>
      <c r="E9" s="26">
        <f>'Operating_Model'!E25-'Operating_Model'!E22</f>
        <v/>
      </c>
      <c r="F9" s="26">
        <f>'Operating_Model'!F25-'Operating_Model'!F22</f>
        <v/>
      </c>
      <c r="G9" s="26">
        <f>'Operating_Model'!G25-'Operating_Model'!G22</f>
        <v/>
      </c>
      <c r="H9" s="26">
        <f>'Operating_Model'!H25-'Operating_Model'!H22</f>
        <v/>
      </c>
      <c r="I9" s="26">
        <f>'Operating_Model'!I25-'Operating_Model'!I22</f>
        <v/>
      </c>
      <c r="J9" s="26">
        <f>'Operating_Model'!J25-'Operating_Model'!J22</f>
        <v/>
      </c>
      <c r="K9" s="26">
        <f>'Operating_Model'!K25-'Operating_Model'!K22</f>
        <v/>
      </c>
      <c r="L9" s="26">
        <f>'Operating_Model'!L25-'Operating_Model'!L22</f>
        <v/>
      </c>
      <c r="M9" s="26">
        <f>'Operating_Model'!M25-'Operating_Model'!M22</f>
        <v/>
      </c>
      <c r="N9" s="26">
        <f>'Operating_Model'!N25-'Operating_Model'!N22</f>
        <v/>
      </c>
      <c r="O9" s="26">
        <f>'Operating_Model'!O25-'Operating_Model'!O22</f>
        <v/>
      </c>
      <c r="P9" s="26">
        <f>'Operating_Model'!P25-'Operating_Model'!P22</f>
        <v/>
      </c>
      <c r="Q9" s="26">
        <f>'Operating_Model'!Q25-'Operating_Model'!Q22</f>
        <v/>
      </c>
      <c r="R9" s="26">
        <f>'Operating_Model'!R25-'Operating_Model'!R22</f>
        <v/>
      </c>
      <c r="S9" s="27">
        <f>'Operating_Model'!S25-'Operating_Model'!S22</f>
        <v/>
      </c>
      <c r="T9" s="27">
        <f>'Operating_Model'!T25-'Operating_Model'!T22</f>
        <v/>
      </c>
      <c r="U9" s="27">
        <f>'Operating_Model'!U25-'Operating_Model'!U22</f>
        <v/>
      </c>
      <c r="V9" s="27">
        <f>'Operating_Model'!V25-'Operating_Model'!V22</f>
        <v/>
      </c>
    </row>
    <row r="10">
      <c r="A10" s="4" t="inlineStr">
        <is>
          <t>ue_snm_ng_ttm</t>
        </is>
      </c>
      <c r="B10" s="24" t="inlineStr">
        <is>
          <t>Non-GAAP S&amp;M, trailing 4Q</t>
        </is>
      </c>
      <c r="C10" s="4" t="inlineStr"/>
      <c r="G10" s="26">
        <f>SUM(D9:G9)</f>
        <v/>
      </c>
      <c r="H10" s="26">
        <f>SUM(E9:H9)</f>
        <v/>
      </c>
      <c r="I10" s="26">
        <f>SUM(F9:I9)</f>
        <v/>
      </c>
      <c r="J10" s="26">
        <f>SUM(G9:J9)</f>
        <v/>
      </c>
      <c r="K10" s="26">
        <f>SUM(H9:K9)</f>
        <v/>
      </c>
      <c r="L10" s="26">
        <f>SUM(I9:L9)</f>
        <v/>
      </c>
      <c r="M10" s="26">
        <f>SUM(J9:M9)</f>
        <v/>
      </c>
      <c r="N10" s="26">
        <f>SUM(K9:N9)</f>
        <v/>
      </c>
      <c r="O10" s="26">
        <f>SUM(L9:O9)</f>
        <v/>
      </c>
      <c r="P10" s="26">
        <f>SUM(M9:P9)</f>
        <v/>
      </c>
      <c r="Q10" s="26">
        <f>SUM(N9:Q9)</f>
        <v/>
      </c>
      <c r="R10" s="26">
        <f>SUM(O9:R9)</f>
        <v/>
      </c>
      <c r="S10" s="27">
        <f>SUM(P9:S9)</f>
        <v/>
      </c>
      <c r="T10" s="27">
        <f>SUM(Q9:T9)</f>
        <v/>
      </c>
      <c r="U10" s="27">
        <f>SUM(R9:U9)</f>
        <v/>
      </c>
      <c r="V10" s="27">
        <f>SUM(S9:V9)</f>
        <v/>
      </c>
    </row>
    <row r="11">
      <c r="A11" s="4" t="inlineStr">
        <is>
          <t>ue_sub_ttm</t>
        </is>
      </c>
      <c r="B11" s="24" t="inlineStr">
        <is>
          <t>Subscription revenue, trailing 4Q</t>
        </is>
      </c>
      <c r="C11" s="4" t="inlineStr"/>
      <c r="G11" s="26">
        <f>SUM('Operating_Model'!D10:G10)</f>
        <v/>
      </c>
      <c r="H11" s="26">
        <f>SUM('Operating_Model'!E10:H10)</f>
        <v/>
      </c>
      <c r="I11" s="26">
        <f>SUM('Operating_Model'!F10:I10)</f>
        <v/>
      </c>
      <c r="J11" s="26">
        <f>SUM('Operating_Model'!G10:J10)</f>
        <v/>
      </c>
      <c r="K11" s="26">
        <f>SUM('Operating_Model'!H10:K10)</f>
        <v/>
      </c>
      <c r="L11" s="26">
        <f>SUM('Operating_Model'!I10:L10)</f>
        <v/>
      </c>
      <c r="M11" s="26">
        <f>SUM('Operating_Model'!J10:M10)</f>
        <v/>
      </c>
      <c r="N11" s="26">
        <f>SUM('Operating_Model'!K10:N10)</f>
        <v/>
      </c>
      <c r="O11" s="26">
        <f>SUM('Operating_Model'!L10:O10)</f>
        <v/>
      </c>
      <c r="P11" s="26">
        <f>SUM('Operating_Model'!M10:P10)</f>
        <v/>
      </c>
      <c r="Q11" s="26">
        <f>SUM('Operating_Model'!N10:Q10)</f>
        <v/>
      </c>
      <c r="R11" s="26">
        <f>SUM('Operating_Model'!O10:R10)</f>
        <v/>
      </c>
      <c r="S11" s="27">
        <f>SUM('Operating_Model'!P10:S10)</f>
        <v/>
      </c>
      <c r="T11" s="27">
        <f>SUM('Operating_Model'!Q10:T10)</f>
        <v/>
      </c>
      <c r="U11" s="27">
        <f>SUM('Operating_Model'!R10:U10)</f>
        <v/>
      </c>
      <c r="V11" s="27">
        <f>SUM('Operating_Model'!S10:V10)</f>
        <v/>
      </c>
    </row>
    <row r="12">
      <c r="A12" s="4" t="inlineStr">
        <is>
          <t>ue_rev_ttm</t>
        </is>
      </c>
      <c r="B12" s="24" t="inlineStr">
        <is>
          <t>Revenue, trailing 4Q</t>
        </is>
      </c>
      <c r="C12" s="4" t="inlineStr"/>
      <c r="G12" s="26">
        <f>SUM('Operating_Model'!D12:G12)</f>
        <v/>
      </c>
      <c r="H12" s="26">
        <f>SUM('Operating_Model'!E12:H12)</f>
        <v/>
      </c>
      <c r="I12" s="26">
        <f>SUM('Operating_Model'!F12:I12)</f>
        <v/>
      </c>
      <c r="J12" s="26">
        <f>SUM('Operating_Model'!G12:J12)</f>
        <v/>
      </c>
      <c r="K12" s="26">
        <f>SUM('Operating_Model'!H12:K12)</f>
        <v/>
      </c>
      <c r="L12" s="26">
        <f>SUM('Operating_Model'!I12:L12)</f>
        <v/>
      </c>
      <c r="M12" s="26">
        <f>SUM('Operating_Model'!J12:M12)</f>
        <v/>
      </c>
      <c r="N12" s="26">
        <f>SUM('Operating_Model'!K12:N12)</f>
        <v/>
      </c>
      <c r="O12" s="26">
        <f>SUM('Operating_Model'!L12:O12)</f>
        <v/>
      </c>
      <c r="P12" s="26">
        <f>SUM('Operating_Model'!M12:P12)</f>
        <v/>
      </c>
      <c r="Q12" s="26">
        <f>SUM('Operating_Model'!N12:Q12)</f>
        <v/>
      </c>
      <c r="R12" s="26">
        <f>SUM('Operating_Model'!O12:R12)</f>
        <v/>
      </c>
      <c r="S12" s="27">
        <f>SUM('Operating_Model'!P12:S12)</f>
        <v/>
      </c>
      <c r="T12" s="27">
        <f>SUM('Operating_Model'!Q12:T12)</f>
        <v/>
      </c>
      <c r="U12" s="27">
        <f>SUM('Operating_Model'!R12:U12)</f>
        <v/>
      </c>
      <c r="V12" s="27">
        <f>SUM('Operating_Model'!S12:V12)</f>
        <v/>
      </c>
    </row>
    <row r="13">
      <c r="A13" s="4" t="inlineStr">
        <is>
          <t>ue_fcf_ttm</t>
        </is>
      </c>
      <c r="B13" s="24" t="inlineStr">
        <is>
          <t>FCF, trailing 4Q</t>
        </is>
      </c>
      <c r="C13" s="4" t="inlineStr"/>
      <c r="G13" s="26">
        <f>SUM('Operating_Model'!D37:G37)</f>
        <v/>
      </c>
      <c r="H13" s="26">
        <f>SUM('Operating_Model'!E37:H37)</f>
        <v/>
      </c>
      <c r="I13" s="26">
        <f>SUM('Operating_Model'!F37:I37)</f>
        <v/>
      </c>
      <c r="J13" s="26">
        <f>SUM('Operating_Model'!G37:J37)</f>
        <v/>
      </c>
      <c r="K13" s="26">
        <f>SUM('Operating_Model'!H37:K37)</f>
        <v/>
      </c>
      <c r="L13" s="26">
        <f>SUM('Operating_Model'!I37:L37)</f>
        <v/>
      </c>
      <c r="M13" s="26">
        <f>SUM('Operating_Model'!J37:M37)</f>
        <v/>
      </c>
      <c r="N13" s="26">
        <f>SUM('Operating_Model'!K37:N37)</f>
        <v/>
      </c>
      <c r="O13" s="26">
        <f>SUM('Operating_Model'!L37:O37)</f>
        <v/>
      </c>
      <c r="P13" s="26">
        <f>SUM('Operating_Model'!M37:P37)</f>
        <v/>
      </c>
      <c r="Q13" s="26">
        <f>SUM('Operating_Model'!N37:Q37)</f>
        <v/>
      </c>
      <c r="R13" s="26">
        <f>SUM('Operating_Model'!O37:R37)</f>
        <v/>
      </c>
      <c r="S13" s="27">
        <f>SUM('Operating_Model'!P37:S37)</f>
        <v/>
      </c>
      <c r="T13" s="27">
        <f>SUM('Operating_Model'!Q37:T37)</f>
        <v/>
      </c>
      <c r="U13" s="27">
        <f>SUM('Operating_Model'!R37:U37)</f>
        <v/>
      </c>
      <c r="V13" s="27">
        <f>SUM('Operating_Model'!S37:V37)</f>
        <v/>
      </c>
    </row>
    <row r="14">
      <c r="A14" s="4" t="inlineStr">
        <is>
          <t>ue_sub_gm_ng</t>
        </is>
      </c>
      <c r="B14" s="24" t="inlineStr">
        <is>
          <t>Non-GAAP subscription gross margin</t>
        </is>
      </c>
      <c r="C14" s="4" t="inlineStr"/>
      <c r="D14" s="36">
        <f>('Operating_Model'!D10-'Operating_Model'!D14+'Operating_Model'!D19)/'Operating_Model'!D10</f>
        <v/>
      </c>
      <c r="E14" s="36">
        <f>('Operating_Model'!E10-'Operating_Model'!E14+'Operating_Model'!E19)/'Operating_Model'!E10</f>
        <v/>
      </c>
      <c r="F14" s="36">
        <f>('Operating_Model'!F10-'Operating_Model'!F14+'Operating_Model'!F19)/'Operating_Model'!F10</f>
        <v/>
      </c>
      <c r="G14" s="36">
        <f>('Operating_Model'!G10-'Operating_Model'!G14+'Operating_Model'!G19)/'Operating_Model'!G10</f>
        <v/>
      </c>
      <c r="H14" s="36">
        <f>('Operating_Model'!H10-'Operating_Model'!H14+'Operating_Model'!H19)/'Operating_Model'!H10</f>
        <v/>
      </c>
      <c r="I14" s="36">
        <f>('Operating_Model'!I10-'Operating_Model'!I14+'Operating_Model'!I19)/'Operating_Model'!I10</f>
        <v/>
      </c>
      <c r="J14" s="36">
        <f>('Operating_Model'!J10-'Operating_Model'!J14+'Operating_Model'!J19)/'Operating_Model'!J10</f>
        <v/>
      </c>
      <c r="K14" s="36">
        <f>('Operating_Model'!K10-'Operating_Model'!K14+'Operating_Model'!K19)/'Operating_Model'!K10</f>
        <v/>
      </c>
      <c r="L14" s="36">
        <f>('Operating_Model'!L10-'Operating_Model'!L14+'Operating_Model'!L19)/'Operating_Model'!L10</f>
        <v/>
      </c>
      <c r="M14" s="36">
        <f>('Operating_Model'!M10-'Operating_Model'!M14+'Operating_Model'!M19)/'Operating_Model'!M10</f>
        <v/>
      </c>
      <c r="N14" s="36">
        <f>('Operating_Model'!N10-'Operating_Model'!N14+'Operating_Model'!N19)/'Operating_Model'!N10</f>
        <v/>
      </c>
      <c r="O14" s="36">
        <f>('Operating_Model'!O10-'Operating_Model'!O14+'Operating_Model'!O19)/'Operating_Model'!O10</f>
        <v/>
      </c>
      <c r="P14" s="36">
        <f>('Operating_Model'!P10-'Operating_Model'!P14+'Operating_Model'!P19)/'Operating_Model'!P10</f>
        <v/>
      </c>
      <c r="Q14" s="36">
        <f>('Operating_Model'!Q10-'Operating_Model'!Q14+'Operating_Model'!Q19)/'Operating_Model'!Q10</f>
        <v/>
      </c>
      <c r="R14" s="36">
        <f>('Operating_Model'!R10-'Operating_Model'!R14+'Operating_Model'!R19)/'Operating_Model'!R10</f>
        <v/>
      </c>
      <c r="S14" s="30">
        <f>('Operating_Model'!S10-'Operating_Model'!S14+'Operating_Model'!S19)/'Operating_Model'!S10</f>
        <v/>
      </c>
      <c r="T14" s="30">
        <f>('Operating_Model'!T10-'Operating_Model'!T14+'Operating_Model'!T19)/'Operating_Model'!T10</f>
        <v/>
      </c>
      <c r="U14" s="30">
        <f>('Operating_Model'!U10-'Operating_Model'!U14+'Operating_Model'!U19)/'Operating_Model'!U10</f>
        <v/>
      </c>
      <c r="V14" s="30">
        <f>('Operating_Model'!V10-'Operating_Model'!V14+'Operating_Model'!V19)/'Operating_Model'!V10</f>
        <v/>
      </c>
    </row>
    <row r="15">
      <c r="A15" s="4" t="inlineStr">
        <is>
          <t>ue_arr</t>
        </is>
      </c>
      <c r="B15" s="24" t="inlineStr">
        <is>
          <t>ARR proxy</t>
        </is>
      </c>
      <c r="C15" s="4" t="inlineStr"/>
      <c r="G15" s="26">
        <f>'Cohort_ARR_Build'!G15</f>
        <v/>
      </c>
      <c r="H15" s="26">
        <f>'Cohort_ARR_Build'!H15</f>
        <v/>
      </c>
      <c r="I15" s="26">
        <f>'Cohort_ARR_Build'!I15</f>
        <v/>
      </c>
      <c r="J15" s="26">
        <f>'Cohort_ARR_Build'!J15</f>
        <v/>
      </c>
      <c r="K15" s="26">
        <f>'Cohort_ARR_Build'!K15</f>
        <v/>
      </c>
      <c r="L15" s="26">
        <f>'Cohort_ARR_Build'!L15</f>
        <v/>
      </c>
      <c r="M15" s="26">
        <f>'Cohort_ARR_Build'!M15</f>
        <v/>
      </c>
      <c r="N15" s="26">
        <f>'Cohort_ARR_Build'!N15</f>
        <v/>
      </c>
      <c r="O15" s="26">
        <f>'Cohort_ARR_Build'!O15</f>
        <v/>
      </c>
      <c r="P15" s="26">
        <f>'Cohort_ARR_Build'!P15</f>
        <v/>
      </c>
      <c r="Q15" s="26">
        <f>'Cohort_ARR_Build'!Q15</f>
        <v/>
      </c>
      <c r="R15" s="26">
        <f>'Cohort_ARR_Build'!R15</f>
        <v/>
      </c>
      <c r="S15" s="27">
        <f>'Cohort_ARR_Build'!S15</f>
        <v/>
      </c>
      <c r="T15" s="27">
        <f>'Cohort_ARR_Build'!T15</f>
        <v/>
      </c>
      <c r="U15" s="27">
        <f>'Cohort_ARR_Build'!U15</f>
        <v/>
      </c>
      <c r="V15" s="27">
        <f>'Cohort_ARR_Build'!V15</f>
        <v/>
      </c>
    </row>
    <row r="16">
      <c r="A16" s="4" t="inlineStr">
        <is>
          <t>ue_nnarr</t>
        </is>
      </c>
      <c r="B16" s="24" t="inlineStr">
        <is>
          <t>Net new ARR, trailing 4Q</t>
        </is>
      </c>
      <c r="C16" s="4" t="inlineStr"/>
      <c r="K16" s="26">
        <f>K15-G15</f>
        <v/>
      </c>
      <c r="L16" s="26">
        <f>L15-H15</f>
        <v/>
      </c>
      <c r="M16" s="26">
        <f>M15-I15</f>
        <v/>
      </c>
      <c r="N16" s="26">
        <f>N15-J15</f>
        <v/>
      </c>
      <c r="O16" s="26">
        <f>O15-K15</f>
        <v/>
      </c>
      <c r="P16" s="26">
        <f>P15-L15</f>
        <v/>
      </c>
      <c r="Q16" s="26">
        <f>Q15-M15</f>
        <v/>
      </c>
      <c r="R16" s="26">
        <f>R15-N15</f>
        <v/>
      </c>
      <c r="S16" s="27">
        <f>S15-O15</f>
        <v/>
      </c>
      <c r="T16" s="27">
        <f>T15-P15</f>
        <v/>
      </c>
      <c r="U16" s="27">
        <f>U15-Q15</f>
        <v/>
      </c>
      <c r="V16" s="27">
        <f>V15-R15</f>
        <v/>
      </c>
    </row>
    <row r="17">
      <c r="A17" s="4" t="inlineStr">
        <is>
          <t>ue_cac_payback</t>
        </is>
      </c>
      <c r="B17" s="24" t="inlineStr">
        <is>
          <t>CAC payback (months)</t>
        </is>
      </c>
      <c r="C17" s="4" t="inlineStr"/>
      <c r="K17" s="46">
        <f>J10/(K16*K14)*Inputs_Scenarios!$C$7</f>
        <v/>
      </c>
      <c r="L17" s="46">
        <f>K10/(L16*L14)*Inputs_Scenarios!$C$7</f>
        <v/>
      </c>
      <c r="M17" s="46">
        <f>L10/(M16*M14)*Inputs_Scenarios!$C$7</f>
        <v/>
      </c>
      <c r="N17" s="46">
        <f>M10/(N16*N14)*Inputs_Scenarios!$C$7</f>
        <v/>
      </c>
      <c r="O17" s="46">
        <f>N10/(O16*O14)*Inputs_Scenarios!$C$7</f>
        <v/>
      </c>
      <c r="P17" s="46">
        <f>O10/(P16*P14)*Inputs_Scenarios!$C$7</f>
        <v/>
      </c>
      <c r="Q17" s="46">
        <f>P10/(Q16*Q14)*Inputs_Scenarios!$C$7</f>
        <v/>
      </c>
      <c r="R17" s="46">
        <f>Q10/(R16*R14)*Inputs_Scenarios!$C$7</f>
        <v/>
      </c>
      <c r="S17" s="47">
        <f>R10/(S16*S14)*Inputs_Scenarios!$C$7</f>
        <v/>
      </c>
      <c r="T17" s="47">
        <f>S10/(T16*T14)*Inputs_Scenarios!$C$7</f>
        <v/>
      </c>
      <c r="U17" s="47">
        <f>T10/(U16*U14)*Inputs_Scenarios!$C$7</f>
        <v/>
      </c>
      <c r="V17" s="47">
        <f>U10/(V16*V14)*Inputs_Scenarios!$C$7</f>
        <v/>
      </c>
    </row>
    <row r="18">
      <c r="A18" s="4" t="inlineStr">
        <is>
          <t>ue_magic</t>
        </is>
      </c>
      <c r="B18" s="24" t="inlineStr">
        <is>
          <t>Magic number</t>
        </is>
      </c>
      <c r="C18" s="4" t="inlineStr"/>
      <c r="K18" s="48">
        <f>(K11-G11)/J10</f>
        <v/>
      </c>
      <c r="L18" s="48">
        <f>(L11-H11)/K10</f>
        <v/>
      </c>
      <c r="M18" s="48">
        <f>(M11-I11)/L10</f>
        <v/>
      </c>
      <c r="N18" s="48">
        <f>(N11-J11)/M10</f>
        <v/>
      </c>
      <c r="O18" s="48">
        <f>(O11-K11)/N10</f>
        <v/>
      </c>
      <c r="P18" s="48">
        <f>(P11-L11)/O10</f>
        <v/>
      </c>
      <c r="Q18" s="48">
        <f>(Q11-M11)/P10</f>
        <v/>
      </c>
      <c r="R18" s="48">
        <f>(R11-N11)/Q10</f>
        <v/>
      </c>
      <c r="S18" s="49">
        <f>(S11-O11)/R10</f>
        <v/>
      </c>
      <c r="T18" s="49">
        <f>(T11-P11)/S10</f>
        <v/>
      </c>
      <c r="U18" s="49">
        <f>(U11-Q11)/T10</f>
        <v/>
      </c>
      <c r="V18" s="49">
        <f>(V11-R11)/U10</f>
        <v/>
      </c>
    </row>
    <row r="19">
      <c r="A19" s="4" t="inlineStr">
        <is>
          <t>ue_rule40</t>
        </is>
      </c>
      <c r="B19" s="24" t="inlineStr">
        <is>
          <t>Rule of 40 (revenue growth YoY + FCF margin TTM)</t>
        </is>
      </c>
      <c r="C19" s="4" t="inlineStr"/>
      <c r="H19" s="36">
        <f>'Operating_Model'!H13+H13/H12</f>
        <v/>
      </c>
      <c r="I19" s="36">
        <f>'Operating_Model'!I13+I13/I12</f>
        <v/>
      </c>
      <c r="J19" s="36">
        <f>'Operating_Model'!J13+J13/J12</f>
        <v/>
      </c>
      <c r="K19" s="36">
        <f>'Operating_Model'!K13+K13/K12</f>
        <v/>
      </c>
      <c r="L19" s="36">
        <f>'Operating_Model'!L13+L13/L12</f>
        <v/>
      </c>
      <c r="M19" s="36">
        <f>'Operating_Model'!M13+M13/M12</f>
        <v/>
      </c>
      <c r="N19" s="36">
        <f>'Operating_Model'!N13+N13/N12</f>
        <v/>
      </c>
      <c r="O19" s="36">
        <f>'Operating_Model'!O13+O13/O12</f>
        <v/>
      </c>
      <c r="P19" s="36">
        <f>'Operating_Model'!P13+P13/P12</f>
        <v/>
      </c>
      <c r="Q19" s="36">
        <f>'Operating_Model'!Q13+Q13/Q12</f>
        <v/>
      </c>
      <c r="R19" s="36">
        <f>'Operating_Model'!R13+R13/R12</f>
        <v/>
      </c>
      <c r="S19" s="30">
        <f>'Operating_Model'!S13+S13/S12</f>
        <v/>
      </c>
      <c r="T19" s="30">
        <f>'Operating_Model'!T13+T13/T12</f>
        <v/>
      </c>
      <c r="U19" s="30">
        <f>'Operating_Model'!U13+U13/U12</f>
        <v/>
      </c>
      <c r="V19" s="30">
        <f>'Operating_Model'!V13+V13/V12</f>
        <v/>
      </c>
    </row>
    <row r="20">
      <c r="A20" s="4" t="inlineStr">
        <is>
          <t>ue_burn</t>
        </is>
      </c>
      <c r="B20" s="24" t="inlineStr">
        <is>
          <t>Burn multiple (only while FCF is negative)</t>
        </is>
      </c>
      <c r="C20" s="4" t="inlineStr"/>
      <c r="K20" s="48">
        <f>IF(K13&lt;0,-K13/K16,"n/m")</f>
        <v/>
      </c>
      <c r="L20" s="48">
        <f>IF(L13&lt;0,-L13/L16,"n/m")</f>
        <v/>
      </c>
      <c r="M20" s="48">
        <f>IF(M13&lt;0,-M13/M16,"n/m")</f>
        <v/>
      </c>
      <c r="N20" s="48">
        <f>IF(N13&lt;0,-N13/N16,"n/m")</f>
        <v/>
      </c>
      <c r="O20" s="48">
        <f>IF(O13&lt;0,-O13/O16,"n/m")</f>
        <v/>
      </c>
      <c r="P20" s="48">
        <f>IF(P13&lt;0,-P13/P16,"n/m")</f>
        <v/>
      </c>
      <c r="Q20" s="48">
        <f>IF(Q13&lt;0,-Q13/Q16,"n/m")</f>
        <v/>
      </c>
      <c r="R20" s="48">
        <f>IF(R13&lt;0,-R13/R16,"n/m")</f>
        <v/>
      </c>
      <c r="S20" s="49">
        <f>IF(S13&lt;0,-S13/S16,"n/m")</f>
        <v/>
      </c>
      <c r="T20" s="49">
        <f>IF(T13&lt;0,-T13/T16,"n/m")</f>
        <v/>
      </c>
      <c r="U20" s="49">
        <f>IF(U13&lt;0,-U13/U16,"n/m")</f>
        <v/>
      </c>
      <c r="V20" s="49">
        <f>IF(V13&lt;0,-V13/V16,"n/m")</f>
        <v/>
      </c>
    </row>
    <row r="21">
      <c r="A21" s="4" t="inlineStr">
        <is>
          <t>ue_nrr</t>
        </is>
      </c>
      <c r="B21" s="24" t="inlineStr">
        <is>
          <t>Net ARR expansion rate</t>
        </is>
      </c>
      <c r="C21" s="4" t="inlineStr"/>
      <c r="G21" s="36">
        <f>'Cohort_ARR_Build'!G18</f>
        <v/>
      </c>
      <c r="H21" s="36">
        <f>'Cohort_ARR_Build'!H18</f>
        <v/>
      </c>
      <c r="I21" s="36">
        <f>'Cohort_ARR_Build'!I18</f>
        <v/>
      </c>
      <c r="J21" s="36">
        <f>'Cohort_ARR_Build'!J18</f>
        <v/>
      </c>
      <c r="K21" s="36">
        <f>'Cohort_ARR_Build'!K18</f>
        <v/>
      </c>
      <c r="L21" s="36">
        <f>'Cohort_ARR_Build'!L18</f>
        <v/>
      </c>
      <c r="M21" s="36">
        <f>'Cohort_ARR_Build'!M18</f>
        <v/>
      </c>
      <c r="N21" s="36">
        <f>'Cohort_ARR_Build'!N18</f>
        <v/>
      </c>
      <c r="O21" s="36">
        <f>'Cohort_ARR_Build'!O18</f>
        <v/>
      </c>
      <c r="P21" s="36">
        <f>'Cohort_ARR_Build'!P18</f>
        <v/>
      </c>
      <c r="Q21" s="36">
        <f>'Cohort_ARR_Build'!Q18</f>
        <v/>
      </c>
      <c r="R21" s="36">
        <f>'Cohort_ARR_Build'!R18</f>
        <v/>
      </c>
      <c r="S21" s="30">
        <f>'Cohort_ARR_Build'!S18</f>
        <v/>
      </c>
      <c r="T21" s="30">
        <f>'Cohort_ARR_Build'!T18</f>
        <v/>
      </c>
      <c r="U21" s="30">
        <f>'Cohort_ARR_Build'!U18</f>
        <v/>
      </c>
      <c r="V21" s="30">
        <f>'Cohort_ARR_Build'!V18</f>
        <v/>
      </c>
    </row>
    <row r="22">
      <c r="A22" s="4" t="inlineStr">
        <is>
          <t>ue_new_logos_ttm</t>
        </is>
      </c>
      <c r="B22" s="24" t="inlineStr">
        <is>
          <t>New logos, trailing 4Q [Calibrated Synthetic]</t>
        </is>
      </c>
      <c r="C22" s="4" t="inlineStr"/>
      <c r="K22" s="38">
        <f>SUM('Cohort_ARR_Build'!H10:K10)</f>
        <v/>
      </c>
      <c r="L22" s="38">
        <f>SUM('Cohort_ARR_Build'!I10:L10)</f>
        <v/>
      </c>
      <c r="M22" s="38">
        <f>SUM('Cohort_ARR_Build'!J10:M10)</f>
        <v/>
      </c>
      <c r="N22" s="38">
        <f>SUM('Cohort_ARR_Build'!K10:N10)</f>
        <v/>
      </c>
      <c r="O22" s="38">
        <f>SUM('Cohort_ARR_Build'!L10:O10)</f>
        <v/>
      </c>
      <c r="P22" s="38">
        <f>SUM('Cohort_ARR_Build'!M10:P10)</f>
        <v/>
      </c>
      <c r="Q22" s="38">
        <f>SUM('Cohort_ARR_Build'!N10:Q10)</f>
        <v/>
      </c>
      <c r="R22" s="38">
        <f>SUM('Cohort_ARR_Build'!O10:R10)</f>
        <v/>
      </c>
      <c r="S22" s="25">
        <f>SUM('Cohort_ARR_Build'!P10:S10)</f>
        <v/>
      </c>
      <c r="T22" s="25">
        <f>SUM('Cohort_ARR_Build'!Q10:T10)</f>
        <v/>
      </c>
      <c r="U22" s="25">
        <f>SUM('Cohort_ARR_Build'!R10:U10)</f>
        <v/>
      </c>
      <c r="V22" s="25">
        <f>SUM('Cohort_ARR_Build'!S10:V10)</f>
        <v/>
      </c>
    </row>
    <row r="23">
      <c r="A23" s="4" t="inlineStr">
        <is>
          <t>ue_cac_logo</t>
        </is>
      </c>
      <c r="B23" s="24" t="inlineStr">
        <is>
          <t>Non-GAAP S&amp;M per new logo</t>
        </is>
      </c>
      <c r="C23" s="4" t="inlineStr"/>
      <c r="K23" s="34">
        <f>J10/K22</f>
        <v/>
      </c>
      <c r="L23" s="34">
        <f>K10/L22</f>
        <v/>
      </c>
      <c r="M23" s="34">
        <f>L10/M22</f>
        <v/>
      </c>
      <c r="N23" s="34">
        <f>M10/N22</f>
        <v/>
      </c>
      <c r="O23" s="34">
        <f>N10/O22</f>
        <v/>
      </c>
      <c r="P23" s="34">
        <f>O10/P22</f>
        <v/>
      </c>
      <c r="Q23" s="34">
        <f>P10/Q22</f>
        <v/>
      </c>
      <c r="R23" s="34">
        <f>Q10/R22</f>
        <v/>
      </c>
      <c r="S23" s="35">
        <f>R10/S22</f>
        <v/>
      </c>
      <c r="T23" s="35">
        <f>S10/T22</f>
        <v/>
      </c>
      <c r="U23" s="35">
        <f>T10/U22</f>
        <v/>
      </c>
      <c r="V23" s="35">
        <f>U10/V22</f>
        <v/>
      </c>
    </row>
    <row r="24">
      <c r="A24" s="4" t="inlineStr">
        <is>
          <t>ue_ltv</t>
        </is>
      </c>
      <c r="B24" s="24" t="inlineStr">
        <is>
          <t>LTV per customer [Illustrative: assumed churn]</t>
        </is>
      </c>
      <c r="C24" s="4" t="inlineStr"/>
      <c r="G24" s="34">
        <f>'Cohort_ARR_Build'!G15/'Cohort_ARR_Build'!G8*G14/(1-(1-Inputs_Scenarios!$F$14)^Inputs_Scenarios!$C$6)</f>
        <v/>
      </c>
      <c r="H24" s="34">
        <f>'Cohort_ARR_Build'!H15/'Cohort_ARR_Build'!H8*H14/(1-(1-Inputs_Scenarios!$F$14)^Inputs_Scenarios!$C$6)</f>
        <v/>
      </c>
      <c r="I24" s="34">
        <f>'Cohort_ARR_Build'!I15/'Cohort_ARR_Build'!I8*I14/(1-(1-Inputs_Scenarios!$F$14)^Inputs_Scenarios!$C$6)</f>
        <v/>
      </c>
      <c r="J24" s="34">
        <f>'Cohort_ARR_Build'!J15/'Cohort_ARR_Build'!J8*J14/(1-(1-Inputs_Scenarios!$F$14)^Inputs_Scenarios!$C$6)</f>
        <v/>
      </c>
      <c r="K24" s="34">
        <f>'Cohort_ARR_Build'!K15/'Cohort_ARR_Build'!K8*K14/(1-(1-Inputs_Scenarios!$F$14)^Inputs_Scenarios!$C$6)</f>
        <v/>
      </c>
      <c r="L24" s="34">
        <f>'Cohort_ARR_Build'!L15/'Cohort_ARR_Build'!L8*L14/(1-(1-Inputs_Scenarios!$F$14)^Inputs_Scenarios!$C$6)</f>
        <v/>
      </c>
      <c r="M24" s="34">
        <f>'Cohort_ARR_Build'!M15/'Cohort_ARR_Build'!M8*M14/(1-(1-Inputs_Scenarios!$F$14)^Inputs_Scenarios!$C$6)</f>
        <v/>
      </c>
      <c r="N24" s="34">
        <f>'Cohort_ARR_Build'!N15/'Cohort_ARR_Build'!N8*N14/(1-(1-Inputs_Scenarios!$F$14)^Inputs_Scenarios!$C$6)</f>
        <v/>
      </c>
      <c r="O24" s="34">
        <f>'Cohort_ARR_Build'!O15/'Cohort_ARR_Build'!O8*O14/(1-(1-Inputs_Scenarios!$F$14)^Inputs_Scenarios!$C$6)</f>
        <v/>
      </c>
      <c r="P24" s="34">
        <f>'Cohort_ARR_Build'!P15/'Cohort_ARR_Build'!P8*P14/(1-(1-Inputs_Scenarios!$F$14)^Inputs_Scenarios!$C$6)</f>
        <v/>
      </c>
      <c r="Q24" s="34">
        <f>'Cohort_ARR_Build'!Q15/'Cohort_ARR_Build'!Q8*Q14/(1-(1-Inputs_Scenarios!$F$14)^Inputs_Scenarios!$C$6)</f>
        <v/>
      </c>
      <c r="R24" s="34">
        <f>'Cohort_ARR_Build'!R15/'Cohort_ARR_Build'!R8*R14/(1-(1-Inputs_Scenarios!$F$14)^Inputs_Scenarios!$C$6)</f>
        <v/>
      </c>
      <c r="S24" s="35">
        <f>'Cohort_ARR_Build'!S15/'Cohort_ARR_Build'!S8*S14/(1-(1-Inputs_Scenarios!$F$14)^Inputs_Scenarios!$C$6)</f>
        <v/>
      </c>
      <c r="T24" s="35">
        <f>'Cohort_ARR_Build'!T15/'Cohort_ARR_Build'!T8*T14/(1-(1-Inputs_Scenarios!$F$14)^Inputs_Scenarios!$C$6)</f>
        <v/>
      </c>
      <c r="U24" s="35">
        <f>'Cohort_ARR_Build'!U15/'Cohort_ARR_Build'!U8*U14/(1-(1-Inputs_Scenarios!$F$14)^Inputs_Scenarios!$C$6)</f>
        <v/>
      </c>
      <c r="V24" s="35">
        <f>'Cohort_ARR_Build'!V15/'Cohort_ARR_Build'!V8*V14/(1-(1-Inputs_Scenarios!$F$14)^Inputs_Scenarios!$C$6)</f>
        <v/>
      </c>
    </row>
    <row r="25">
      <c r="A25" s="4" t="inlineStr">
        <is>
          <t>ue_ltv_cac</t>
        </is>
      </c>
      <c r="B25" s="24" t="inlineStr">
        <is>
          <t>LTV : CAC [Illustrative]</t>
        </is>
      </c>
      <c r="C25" s="4" t="inlineStr"/>
      <c r="K25" s="46">
        <f>K24/K23</f>
        <v/>
      </c>
      <c r="L25" s="46">
        <f>L24/L23</f>
        <v/>
      </c>
      <c r="M25" s="46">
        <f>M24/M23</f>
        <v/>
      </c>
      <c r="N25" s="46">
        <f>N24/N23</f>
        <v/>
      </c>
      <c r="O25" s="46">
        <f>O24/O23</f>
        <v/>
      </c>
      <c r="P25" s="46">
        <f>P24/P23</f>
        <v/>
      </c>
      <c r="Q25" s="46">
        <f>Q24/Q23</f>
        <v/>
      </c>
      <c r="R25" s="46">
        <f>R24/R23</f>
        <v/>
      </c>
      <c r="S25" s="47">
        <f>S24/S23</f>
        <v/>
      </c>
      <c r="T25" s="47">
        <f>T24/T23</f>
        <v/>
      </c>
      <c r="U25" s="47">
        <f>U24/U23</f>
        <v/>
      </c>
      <c r="V25" s="47">
        <f>V24/V23</f>
        <v/>
      </c>
    </row>
    <row r="27">
      <c r="A27" s="2" t="inlineStr">
        <is>
          <t>B. GTM capital allocation: 30 Enterprise AEs (A) vs product attach (B), monthly, inputs on Inputs_Scenarios [mostly Illustrative]</t>
        </is>
      </c>
    </row>
    <row r="28">
      <c r="A28" s="4" t="inlineStr">
        <is>
          <t>roi_month</t>
        </is>
      </c>
      <c r="B28" t="inlineStr">
        <is>
          <t>Month</t>
        </is>
      </c>
      <c r="D28" s="18" t="n">
        <v>1</v>
      </c>
      <c r="E28" s="18" t="n">
        <v>2</v>
      </c>
      <c r="F28" s="18" t="n">
        <v>3</v>
      </c>
      <c r="G28" s="18" t="n">
        <v>4</v>
      </c>
      <c r="H28" s="18" t="n">
        <v>5</v>
      </c>
      <c r="I28" s="18" t="n">
        <v>6</v>
      </c>
      <c r="J28" s="18" t="n">
        <v>7</v>
      </c>
      <c r="K28" s="18" t="n">
        <v>8</v>
      </c>
      <c r="L28" s="18" t="n">
        <v>9</v>
      </c>
      <c r="M28" s="18" t="n">
        <v>10</v>
      </c>
      <c r="N28" s="18" t="n">
        <v>11</v>
      </c>
      <c r="O28" s="18" t="n">
        <v>12</v>
      </c>
      <c r="P28" s="18" t="n">
        <v>13</v>
      </c>
      <c r="Q28" s="18" t="n">
        <v>14</v>
      </c>
      <c r="R28" s="18" t="n">
        <v>15</v>
      </c>
      <c r="S28" s="18" t="n">
        <v>16</v>
      </c>
      <c r="T28" s="18" t="n">
        <v>17</v>
      </c>
      <c r="U28" s="18" t="n">
        <v>18</v>
      </c>
      <c r="V28" s="18" t="n">
        <v>19</v>
      </c>
      <c r="W28" s="18" t="n">
        <v>20</v>
      </c>
      <c r="X28" s="18" t="n">
        <v>21</v>
      </c>
      <c r="Y28" s="18" t="n">
        <v>22</v>
      </c>
      <c r="Z28" s="18" t="n">
        <v>23</v>
      </c>
      <c r="AA28" s="18" t="n">
        <v>24</v>
      </c>
      <c r="AB28" s="18" t="n">
        <v>25</v>
      </c>
      <c r="AC28" s="18" t="n">
        <v>26</v>
      </c>
      <c r="AD28" s="18" t="n">
        <v>27</v>
      </c>
      <c r="AE28" s="18" t="n">
        <v>28</v>
      </c>
      <c r="AF28" s="18" t="n">
        <v>29</v>
      </c>
      <c r="AG28" s="18" t="n">
        <v>30</v>
      </c>
      <c r="AH28" s="18" t="n">
        <v>31</v>
      </c>
      <c r="AI28" s="18" t="n">
        <v>32</v>
      </c>
      <c r="AJ28" s="18" t="n">
        <v>33</v>
      </c>
      <c r="AK28" s="18" t="n">
        <v>34</v>
      </c>
      <c r="AL28" s="18" t="n">
        <v>35</v>
      </c>
      <c r="AM28" s="18" t="n">
        <v>36</v>
      </c>
    </row>
    <row r="29">
      <c r="A29" s="4" t="inlineStr">
        <is>
          <t>roi_g_m</t>
        </is>
      </c>
      <c r="B29" t="inlineStr">
        <is>
          <t>Monthly net expansion of new ARR</t>
        </is>
      </c>
      <c r="D29" s="50">
        <f>Inputs_Scenarios!$F$48^(1/Inputs_Scenarios!$C$7)-1</f>
        <v/>
      </c>
      <c r="E29" s="50">
        <f>Inputs_Scenarios!$F$48^(1/Inputs_Scenarios!$C$7)-1</f>
        <v/>
      </c>
      <c r="F29" s="50">
        <f>Inputs_Scenarios!$F$48^(1/Inputs_Scenarios!$C$7)-1</f>
        <v/>
      </c>
      <c r="G29" s="50">
        <f>Inputs_Scenarios!$F$48^(1/Inputs_Scenarios!$C$7)-1</f>
        <v/>
      </c>
      <c r="H29" s="50">
        <f>Inputs_Scenarios!$F$48^(1/Inputs_Scenarios!$C$7)-1</f>
        <v/>
      </c>
      <c r="I29" s="50">
        <f>Inputs_Scenarios!$F$48^(1/Inputs_Scenarios!$C$7)-1</f>
        <v/>
      </c>
      <c r="J29" s="50">
        <f>Inputs_Scenarios!$F$48^(1/Inputs_Scenarios!$C$7)-1</f>
        <v/>
      </c>
      <c r="K29" s="50">
        <f>Inputs_Scenarios!$F$48^(1/Inputs_Scenarios!$C$7)-1</f>
        <v/>
      </c>
      <c r="L29" s="50">
        <f>Inputs_Scenarios!$F$48^(1/Inputs_Scenarios!$C$7)-1</f>
        <v/>
      </c>
      <c r="M29" s="50">
        <f>Inputs_Scenarios!$F$48^(1/Inputs_Scenarios!$C$7)-1</f>
        <v/>
      </c>
      <c r="N29" s="50">
        <f>Inputs_Scenarios!$F$48^(1/Inputs_Scenarios!$C$7)-1</f>
        <v/>
      </c>
      <c r="O29" s="50">
        <f>Inputs_Scenarios!$F$48^(1/Inputs_Scenarios!$C$7)-1</f>
        <v/>
      </c>
      <c r="P29" s="50">
        <f>Inputs_Scenarios!$F$48^(1/Inputs_Scenarios!$C$7)-1</f>
        <v/>
      </c>
      <c r="Q29" s="50">
        <f>Inputs_Scenarios!$F$48^(1/Inputs_Scenarios!$C$7)-1</f>
        <v/>
      </c>
      <c r="R29" s="50">
        <f>Inputs_Scenarios!$F$48^(1/Inputs_Scenarios!$C$7)-1</f>
        <v/>
      </c>
      <c r="S29" s="50">
        <f>Inputs_Scenarios!$F$48^(1/Inputs_Scenarios!$C$7)-1</f>
        <v/>
      </c>
      <c r="T29" s="50">
        <f>Inputs_Scenarios!$F$48^(1/Inputs_Scenarios!$C$7)-1</f>
        <v/>
      </c>
      <c r="U29" s="50">
        <f>Inputs_Scenarios!$F$48^(1/Inputs_Scenarios!$C$7)-1</f>
        <v/>
      </c>
      <c r="V29" s="50">
        <f>Inputs_Scenarios!$F$48^(1/Inputs_Scenarios!$C$7)-1</f>
        <v/>
      </c>
      <c r="W29" s="50">
        <f>Inputs_Scenarios!$F$48^(1/Inputs_Scenarios!$C$7)-1</f>
        <v/>
      </c>
      <c r="X29" s="50">
        <f>Inputs_Scenarios!$F$48^(1/Inputs_Scenarios!$C$7)-1</f>
        <v/>
      </c>
      <c r="Y29" s="50">
        <f>Inputs_Scenarios!$F$48^(1/Inputs_Scenarios!$C$7)-1</f>
        <v/>
      </c>
      <c r="Z29" s="50">
        <f>Inputs_Scenarios!$F$48^(1/Inputs_Scenarios!$C$7)-1</f>
        <v/>
      </c>
      <c r="AA29" s="50">
        <f>Inputs_Scenarios!$F$48^(1/Inputs_Scenarios!$C$7)-1</f>
        <v/>
      </c>
      <c r="AB29" s="50">
        <f>Inputs_Scenarios!$F$48^(1/Inputs_Scenarios!$C$7)-1</f>
        <v/>
      </c>
      <c r="AC29" s="50">
        <f>Inputs_Scenarios!$F$48^(1/Inputs_Scenarios!$C$7)-1</f>
        <v/>
      </c>
      <c r="AD29" s="50">
        <f>Inputs_Scenarios!$F$48^(1/Inputs_Scenarios!$C$7)-1</f>
        <v/>
      </c>
      <c r="AE29" s="50">
        <f>Inputs_Scenarios!$F$48^(1/Inputs_Scenarios!$C$7)-1</f>
        <v/>
      </c>
      <c r="AF29" s="50">
        <f>Inputs_Scenarios!$F$48^(1/Inputs_Scenarios!$C$7)-1</f>
        <v/>
      </c>
      <c r="AG29" s="50">
        <f>Inputs_Scenarios!$F$48^(1/Inputs_Scenarios!$C$7)-1</f>
        <v/>
      </c>
      <c r="AH29" s="50">
        <f>Inputs_Scenarios!$F$48^(1/Inputs_Scenarios!$C$7)-1</f>
        <v/>
      </c>
      <c r="AI29" s="50">
        <f>Inputs_Scenarios!$F$48^(1/Inputs_Scenarios!$C$7)-1</f>
        <v/>
      </c>
      <c r="AJ29" s="50">
        <f>Inputs_Scenarios!$F$48^(1/Inputs_Scenarios!$C$7)-1</f>
        <v/>
      </c>
      <c r="AK29" s="50">
        <f>Inputs_Scenarios!$F$48^(1/Inputs_Scenarios!$C$7)-1</f>
        <v/>
      </c>
      <c r="AL29" s="50">
        <f>Inputs_Scenarios!$F$48^(1/Inputs_Scenarios!$C$7)-1</f>
        <v/>
      </c>
      <c r="AM29" s="50">
        <f>Inputs_Scenarios!$F$48^(1/Inputs_Scenarios!$C$7)-1</f>
        <v/>
      </c>
    </row>
    <row r="30">
      <c r="A30" s="4" t="inlineStr">
        <is>
          <t>a_ramp</t>
        </is>
      </c>
      <c r="B30" t="inlineStr">
        <is>
          <t>A: ramp</t>
        </is>
      </c>
      <c r="D30" s="51">
        <f>MIN(1,D28/Inputs_Scenarios!$F$40)</f>
        <v/>
      </c>
      <c r="E30" s="51">
        <f>MIN(1,E28/Inputs_Scenarios!$F$40)</f>
        <v/>
      </c>
      <c r="F30" s="51">
        <f>MIN(1,F28/Inputs_Scenarios!$F$40)</f>
        <v/>
      </c>
      <c r="G30" s="51">
        <f>MIN(1,G28/Inputs_Scenarios!$F$40)</f>
        <v/>
      </c>
      <c r="H30" s="51">
        <f>MIN(1,H28/Inputs_Scenarios!$F$40)</f>
        <v/>
      </c>
      <c r="I30" s="51">
        <f>MIN(1,I28/Inputs_Scenarios!$F$40)</f>
        <v/>
      </c>
      <c r="J30" s="51">
        <f>MIN(1,J28/Inputs_Scenarios!$F$40)</f>
        <v/>
      </c>
      <c r="K30" s="51">
        <f>MIN(1,K28/Inputs_Scenarios!$F$40)</f>
        <v/>
      </c>
      <c r="L30" s="51">
        <f>MIN(1,L28/Inputs_Scenarios!$F$40)</f>
        <v/>
      </c>
      <c r="M30" s="51">
        <f>MIN(1,M28/Inputs_Scenarios!$F$40)</f>
        <v/>
      </c>
      <c r="N30" s="51">
        <f>MIN(1,N28/Inputs_Scenarios!$F$40)</f>
        <v/>
      </c>
      <c r="O30" s="51">
        <f>MIN(1,O28/Inputs_Scenarios!$F$40)</f>
        <v/>
      </c>
      <c r="P30" s="51">
        <f>MIN(1,P28/Inputs_Scenarios!$F$40)</f>
        <v/>
      </c>
      <c r="Q30" s="51">
        <f>MIN(1,Q28/Inputs_Scenarios!$F$40)</f>
        <v/>
      </c>
      <c r="R30" s="51">
        <f>MIN(1,R28/Inputs_Scenarios!$F$40)</f>
        <v/>
      </c>
      <c r="S30" s="51">
        <f>MIN(1,S28/Inputs_Scenarios!$F$40)</f>
        <v/>
      </c>
      <c r="T30" s="51">
        <f>MIN(1,T28/Inputs_Scenarios!$F$40)</f>
        <v/>
      </c>
      <c r="U30" s="51">
        <f>MIN(1,U28/Inputs_Scenarios!$F$40)</f>
        <v/>
      </c>
      <c r="V30" s="51">
        <f>MIN(1,V28/Inputs_Scenarios!$F$40)</f>
        <v/>
      </c>
      <c r="W30" s="51">
        <f>MIN(1,W28/Inputs_Scenarios!$F$40)</f>
        <v/>
      </c>
      <c r="X30" s="51">
        <f>MIN(1,X28/Inputs_Scenarios!$F$40)</f>
        <v/>
      </c>
      <c r="Y30" s="51">
        <f>MIN(1,Y28/Inputs_Scenarios!$F$40)</f>
        <v/>
      </c>
      <c r="Z30" s="51">
        <f>MIN(1,Z28/Inputs_Scenarios!$F$40)</f>
        <v/>
      </c>
      <c r="AA30" s="51">
        <f>MIN(1,AA28/Inputs_Scenarios!$F$40)</f>
        <v/>
      </c>
      <c r="AB30" s="51">
        <f>MIN(1,AB28/Inputs_Scenarios!$F$40)</f>
        <v/>
      </c>
      <c r="AC30" s="51">
        <f>MIN(1,AC28/Inputs_Scenarios!$F$40)</f>
        <v/>
      </c>
      <c r="AD30" s="51">
        <f>MIN(1,AD28/Inputs_Scenarios!$F$40)</f>
        <v/>
      </c>
      <c r="AE30" s="51">
        <f>MIN(1,AE28/Inputs_Scenarios!$F$40)</f>
        <v/>
      </c>
      <c r="AF30" s="51">
        <f>MIN(1,AF28/Inputs_Scenarios!$F$40)</f>
        <v/>
      </c>
      <c r="AG30" s="51">
        <f>MIN(1,AG28/Inputs_Scenarios!$F$40)</f>
        <v/>
      </c>
      <c r="AH30" s="51">
        <f>MIN(1,AH28/Inputs_Scenarios!$F$40)</f>
        <v/>
      </c>
      <c r="AI30" s="51">
        <f>MIN(1,AI28/Inputs_Scenarios!$F$40)</f>
        <v/>
      </c>
      <c r="AJ30" s="51">
        <f>MIN(1,AJ28/Inputs_Scenarios!$F$40)</f>
        <v/>
      </c>
      <c r="AK30" s="51">
        <f>MIN(1,AK28/Inputs_Scenarios!$F$40)</f>
        <v/>
      </c>
      <c r="AL30" s="51">
        <f>MIN(1,AL28/Inputs_Scenarios!$F$40)</f>
        <v/>
      </c>
      <c r="AM30" s="51">
        <f>MIN(1,AM28/Inputs_Scenarios!$F$40)</f>
        <v/>
      </c>
    </row>
    <row r="31">
      <c r="A31" s="4" t="inlineStr">
        <is>
          <t>a_booked</t>
        </is>
      </c>
      <c r="B31" t="inlineStr">
        <is>
          <t>A: new ARR booked</t>
        </is>
      </c>
      <c r="D31" s="52">
        <f>Inputs_Scenarios!$F$35*Inputs_Scenarios!$F$38/Inputs_Scenarios!$C$7*Inputs_Scenarios!$F$39*D30</f>
        <v/>
      </c>
      <c r="E31" s="52">
        <f>Inputs_Scenarios!$F$35*Inputs_Scenarios!$F$38/Inputs_Scenarios!$C$7*Inputs_Scenarios!$F$39*E30</f>
        <v/>
      </c>
      <c r="F31" s="52">
        <f>Inputs_Scenarios!$F$35*Inputs_Scenarios!$F$38/Inputs_Scenarios!$C$7*Inputs_Scenarios!$F$39*F30</f>
        <v/>
      </c>
      <c r="G31" s="52">
        <f>Inputs_Scenarios!$F$35*Inputs_Scenarios!$F$38/Inputs_Scenarios!$C$7*Inputs_Scenarios!$F$39*G30</f>
        <v/>
      </c>
      <c r="H31" s="52">
        <f>Inputs_Scenarios!$F$35*Inputs_Scenarios!$F$38/Inputs_Scenarios!$C$7*Inputs_Scenarios!$F$39*H30</f>
        <v/>
      </c>
      <c r="I31" s="52">
        <f>Inputs_Scenarios!$F$35*Inputs_Scenarios!$F$38/Inputs_Scenarios!$C$7*Inputs_Scenarios!$F$39*I30</f>
        <v/>
      </c>
      <c r="J31" s="52">
        <f>Inputs_Scenarios!$F$35*Inputs_Scenarios!$F$38/Inputs_Scenarios!$C$7*Inputs_Scenarios!$F$39*J30</f>
        <v/>
      </c>
      <c r="K31" s="52">
        <f>Inputs_Scenarios!$F$35*Inputs_Scenarios!$F$38/Inputs_Scenarios!$C$7*Inputs_Scenarios!$F$39*K30</f>
        <v/>
      </c>
      <c r="L31" s="52">
        <f>Inputs_Scenarios!$F$35*Inputs_Scenarios!$F$38/Inputs_Scenarios!$C$7*Inputs_Scenarios!$F$39*L30</f>
        <v/>
      </c>
      <c r="M31" s="52">
        <f>Inputs_Scenarios!$F$35*Inputs_Scenarios!$F$38/Inputs_Scenarios!$C$7*Inputs_Scenarios!$F$39*M30</f>
        <v/>
      </c>
      <c r="N31" s="52">
        <f>Inputs_Scenarios!$F$35*Inputs_Scenarios!$F$38/Inputs_Scenarios!$C$7*Inputs_Scenarios!$F$39*N30</f>
        <v/>
      </c>
      <c r="O31" s="52">
        <f>Inputs_Scenarios!$F$35*Inputs_Scenarios!$F$38/Inputs_Scenarios!$C$7*Inputs_Scenarios!$F$39*O30</f>
        <v/>
      </c>
      <c r="P31" s="52">
        <f>Inputs_Scenarios!$F$35*Inputs_Scenarios!$F$38/Inputs_Scenarios!$C$7*Inputs_Scenarios!$F$39*P30</f>
        <v/>
      </c>
      <c r="Q31" s="52">
        <f>Inputs_Scenarios!$F$35*Inputs_Scenarios!$F$38/Inputs_Scenarios!$C$7*Inputs_Scenarios!$F$39*Q30</f>
        <v/>
      </c>
      <c r="R31" s="52">
        <f>Inputs_Scenarios!$F$35*Inputs_Scenarios!$F$38/Inputs_Scenarios!$C$7*Inputs_Scenarios!$F$39*R30</f>
        <v/>
      </c>
      <c r="S31" s="52">
        <f>Inputs_Scenarios!$F$35*Inputs_Scenarios!$F$38/Inputs_Scenarios!$C$7*Inputs_Scenarios!$F$39*S30</f>
        <v/>
      </c>
      <c r="T31" s="52">
        <f>Inputs_Scenarios!$F$35*Inputs_Scenarios!$F$38/Inputs_Scenarios!$C$7*Inputs_Scenarios!$F$39*T30</f>
        <v/>
      </c>
      <c r="U31" s="52">
        <f>Inputs_Scenarios!$F$35*Inputs_Scenarios!$F$38/Inputs_Scenarios!$C$7*Inputs_Scenarios!$F$39*U30</f>
        <v/>
      </c>
      <c r="V31" s="52">
        <f>Inputs_Scenarios!$F$35*Inputs_Scenarios!$F$38/Inputs_Scenarios!$C$7*Inputs_Scenarios!$F$39*V30</f>
        <v/>
      </c>
      <c r="W31" s="52">
        <f>Inputs_Scenarios!$F$35*Inputs_Scenarios!$F$38/Inputs_Scenarios!$C$7*Inputs_Scenarios!$F$39*W30</f>
        <v/>
      </c>
      <c r="X31" s="52">
        <f>Inputs_Scenarios!$F$35*Inputs_Scenarios!$F$38/Inputs_Scenarios!$C$7*Inputs_Scenarios!$F$39*X30</f>
        <v/>
      </c>
      <c r="Y31" s="52">
        <f>Inputs_Scenarios!$F$35*Inputs_Scenarios!$F$38/Inputs_Scenarios!$C$7*Inputs_Scenarios!$F$39*Y30</f>
        <v/>
      </c>
      <c r="Z31" s="52">
        <f>Inputs_Scenarios!$F$35*Inputs_Scenarios!$F$38/Inputs_Scenarios!$C$7*Inputs_Scenarios!$F$39*Z30</f>
        <v/>
      </c>
      <c r="AA31" s="52">
        <f>Inputs_Scenarios!$F$35*Inputs_Scenarios!$F$38/Inputs_Scenarios!$C$7*Inputs_Scenarios!$F$39*AA30</f>
        <v/>
      </c>
      <c r="AB31" s="52">
        <f>Inputs_Scenarios!$F$35*Inputs_Scenarios!$F$38/Inputs_Scenarios!$C$7*Inputs_Scenarios!$F$39*AB30</f>
        <v/>
      </c>
      <c r="AC31" s="52">
        <f>Inputs_Scenarios!$F$35*Inputs_Scenarios!$F$38/Inputs_Scenarios!$C$7*Inputs_Scenarios!$F$39*AC30</f>
        <v/>
      </c>
      <c r="AD31" s="52">
        <f>Inputs_Scenarios!$F$35*Inputs_Scenarios!$F$38/Inputs_Scenarios!$C$7*Inputs_Scenarios!$F$39*AD30</f>
        <v/>
      </c>
      <c r="AE31" s="52">
        <f>Inputs_Scenarios!$F$35*Inputs_Scenarios!$F$38/Inputs_Scenarios!$C$7*Inputs_Scenarios!$F$39*AE30</f>
        <v/>
      </c>
      <c r="AF31" s="52">
        <f>Inputs_Scenarios!$F$35*Inputs_Scenarios!$F$38/Inputs_Scenarios!$C$7*Inputs_Scenarios!$F$39*AF30</f>
        <v/>
      </c>
      <c r="AG31" s="52">
        <f>Inputs_Scenarios!$F$35*Inputs_Scenarios!$F$38/Inputs_Scenarios!$C$7*Inputs_Scenarios!$F$39*AG30</f>
        <v/>
      </c>
      <c r="AH31" s="52">
        <f>Inputs_Scenarios!$F$35*Inputs_Scenarios!$F$38/Inputs_Scenarios!$C$7*Inputs_Scenarios!$F$39*AH30</f>
        <v/>
      </c>
      <c r="AI31" s="52">
        <f>Inputs_Scenarios!$F$35*Inputs_Scenarios!$F$38/Inputs_Scenarios!$C$7*Inputs_Scenarios!$F$39*AI30</f>
        <v/>
      </c>
      <c r="AJ31" s="52">
        <f>Inputs_Scenarios!$F$35*Inputs_Scenarios!$F$38/Inputs_Scenarios!$C$7*Inputs_Scenarios!$F$39*AJ30</f>
        <v/>
      </c>
      <c r="AK31" s="52">
        <f>Inputs_Scenarios!$F$35*Inputs_Scenarios!$F$38/Inputs_Scenarios!$C$7*Inputs_Scenarios!$F$39*AK30</f>
        <v/>
      </c>
      <c r="AL31" s="52">
        <f>Inputs_Scenarios!$F$35*Inputs_Scenarios!$F$38/Inputs_Scenarios!$C$7*Inputs_Scenarios!$F$39*AL30</f>
        <v/>
      </c>
      <c r="AM31" s="52">
        <f>Inputs_Scenarios!$F$35*Inputs_Scenarios!$F$38/Inputs_Scenarios!$C$7*Inputs_Scenarios!$F$39*AM30</f>
        <v/>
      </c>
    </row>
    <row r="32">
      <c r="A32" s="4" t="inlineStr">
        <is>
          <t>a_arr</t>
        </is>
      </c>
      <c r="B32" t="inlineStr">
        <is>
          <t>A: ARR</t>
        </is>
      </c>
      <c r="D32" s="52">
        <f>D31</f>
        <v/>
      </c>
      <c r="E32" s="52">
        <f>D32*(1+E29)+E31</f>
        <v/>
      </c>
      <c r="F32" s="52">
        <f>E32*(1+F29)+F31</f>
        <v/>
      </c>
      <c r="G32" s="52">
        <f>F32*(1+G29)+G31</f>
        <v/>
      </c>
      <c r="H32" s="52">
        <f>G32*(1+H29)+H31</f>
        <v/>
      </c>
      <c r="I32" s="52">
        <f>H32*(1+I29)+I31</f>
        <v/>
      </c>
      <c r="J32" s="52">
        <f>I32*(1+J29)+J31</f>
        <v/>
      </c>
      <c r="K32" s="52">
        <f>J32*(1+K29)+K31</f>
        <v/>
      </c>
      <c r="L32" s="52">
        <f>K32*(1+L29)+L31</f>
        <v/>
      </c>
      <c r="M32" s="52">
        <f>L32*(1+M29)+M31</f>
        <v/>
      </c>
      <c r="N32" s="52">
        <f>M32*(1+N29)+N31</f>
        <v/>
      </c>
      <c r="O32" s="52">
        <f>N32*(1+O29)+O31</f>
        <v/>
      </c>
      <c r="P32" s="52">
        <f>O32*(1+P29)+P31</f>
        <v/>
      </c>
      <c r="Q32" s="52">
        <f>P32*(1+Q29)+Q31</f>
        <v/>
      </c>
      <c r="R32" s="52">
        <f>Q32*(1+R29)+R31</f>
        <v/>
      </c>
      <c r="S32" s="52">
        <f>R32*(1+S29)+S31</f>
        <v/>
      </c>
      <c r="T32" s="52">
        <f>S32*(1+T29)+T31</f>
        <v/>
      </c>
      <c r="U32" s="52">
        <f>T32*(1+U29)+U31</f>
        <v/>
      </c>
      <c r="V32" s="52">
        <f>U32*(1+V29)+V31</f>
        <v/>
      </c>
      <c r="W32" s="52">
        <f>V32*(1+W29)+W31</f>
        <v/>
      </c>
      <c r="X32" s="52">
        <f>W32*(1+X29)+X31</f>
        <v/>
      </c>
      <c r="Y32" s="52">
        <f>X32*(1+Y29)+Y31</f>
        <v/>
      </c>
      <c r="Z32" s="52">
        <f>Y32*(1+Z29)+Z31</f>
        <v/>
      </c>
      <c r="AA32" s="52">
        <f>Z32*(1+AA29)+AA31</f>
        <v/>
      </c>
      <c r="AB32" s="52">
        <f>AA32*(1+AB29)+AB31</f>
        <v/>
      </c>
      <c r="AC32" s="52">
        <f>AB32*(1+AC29)+AC31</f>
        <v/>
      </c>
      <c r="AD32" s="52">
        <f>AC32*(1+AD29)+AD31</f>
        <v/>
      </c>
      <c r="AE32" s="52">
        <f>AD32*(1+AE29)+AE31</f>
        <v/>
      </c>
      <c r="AF32" s="52">
        <f>AE32*(1+AF29)+AF31</f>
        <v/>
      </c>
      <c r="AG32" s="52">
        <f>AF32*(1+AG29)+AG31</f>
        <v/>
      </c>
      <c r="AH32" s="52">
        <f>AG32*(1+AH29)+AH31</f>
        <v/>
      </c>
      <c r="AI32" s="52">
        <f>AH32*(1+AI29)+AI31</f>
        <v/>
      </c>
      <c r="AJ32" s="52">
        <f>AI32*(1+AJ29)+AJ31</f>
        <v/>
      </c>
      <c r="AK32" s="52">
        <f>AJ32*(1+AK29)+AK31</f>
        <v/>
      </c>
      <c r="AL32" s="52">
        <f>AK32*(1+AL29)+AL31</f>
        <v/>
      </c>
      <c r="AM32" s="52">
        <f>AL32*(1+AM29)+AM31</f>
        <v/>
      </c>
    </row>
    <row r="33">
      <c r="A33" s="4" t="inlineStr">
        <is>
          <t>a_gp</t>
        </is>
      </c>
      <c r="B33" t="inlineStr">
        <is>
          <t>A: gross profit</t>
        </is>
      </c>
      <c r="D33" s="52">
        <f>D32/Inputs_Scenarios!$C$7*Inputs_Scenarios!$F$49</f>
        <v/>
      </c>
      <c r="E33" s="52">
        <f>E32/Inputs_Scenarios!$C$7*Inputs_Scenarios!$F$49</f>
        <v/>
      </c>
      <c r="F33" s="52">
        <f>F32/Inputs_Scenarios!$C$7*Inputs_Scenarios!$F$49</f>
        <v/>
      </c>
      <c r="G33" s="52">
        <f>G32/Inputs_Scenarios!$C$7*Inputs_Scenarios!$F$49</f>
        <v/>
      </c>
      <c r="H33" s="52">
        <f>H32/Inputs_Scenarios!$C$7*Inputs_Scenarios!$F$49</f>
        <v/>
      </c>
      <c r="I33" s="52">
        <f>I32/Inputs_Scenarios!$C$7*Inputs_Scenarios!$F$49</f>
        <v/>
      </c>
      <c r="J33" s="52">
        <f>J32/Inputs_Scenarios!$C$7*Inputs_Scenarios!$F$49</f>
        <v/>
      </c>
      <c r="K33" s="52">
        <f>K32/Inputs_Scenarios!$C$7*Inputs_Scenarios!$F$49</f>
        <v/>
      </c>
      <c r="L33" s="52">
        <f>L32/Inputs_Scenarios!$C$7*Inputs_Scenarios!$F$49</f>
        <v/>
      </c>
      <c r="M33" s="52">
        <f>M32/Inputs_Scenarios!$C$7*Inputs_Scenarios!$F$49</f>
        <v/>
      </c>
      <c r="N33" s="52">
        <f>N32/Inputs_Scenarios!$C$7*Inputs_Scenarios!$F$49</f>
        <v/>
      </c>
      <c r="O33" s="52">
        <f>O32/Inputs_Scenarios!$C$7*Inputs_Scenarios!$F$49</f>
        <v/>
      </c>
      <c r="P33" s="52">
        <f>P32/Inputs_Scenarios!$C$7*Inputs_Scenarios!$F$49</f>
        <v/>
      </c>
      <c r="Q33" s="52">
        <f>Q32/Inputs_Scenarios!$C$7*Inputs_Scenarios!$F$49</f>
        <v/>
      </c>
      <c r="R33" s="52">
        <f>R32/Inputs_Scenarios!$C$7*Inputs_Scenarios!$F$49</f>
        <v/>
      </c>
      <c r="S33" s="52">
        <f>S32/Inputs_Scenarios!$C$7*Inputs_Scenarios!$F$49</f>
        <v/>
      </c>
      <c r="T33" s="52">
        <f>T32/Inputs_Scenarios!$C$7*Inputs_Scenarios!$F$49</f>
        <v/>
      </c>
      <c r="U33" s="52">
        <f>U32/Inputs_Scenarios!$C$7*Inputs_Scenarios!$F$49</f>
        <v/>
      </c>
      <c r="V33" s="52">
        <f>V32/Inputs_Scenarios!$C$7*Inputs_Scenarios!$F$49</f>
        <v/>
      </c>
      <c r="W33" s="52">
        <f>W32/Inputs_Scenarios!$C$7*Inputs_Scenarios!$F$49</f>
        <v/>
      </c>
      <c r="X33" s="52">
        <f>X32/Inputs_Scenarios!$C$7*Inputs_Scenarios!$F$49</f>
        <v/>
      </c>
      <c r="Y33" s="52">
        <f>Y32/Inputs_Scenarios!$C$7*Inputs_Scenarios!$F$49</f>
        <v/>
      </c>
      <c r="Z33" s="52">
        <f>Z32/Inputs_Scenarios!$C$7*Inputs_Scenarios!$F$49</f>
        <v/>
      </c>
      <c r="AA33" s="52">
        <f>AA32/Inputs_Scenarios!$C$7*Inputs_Scenarios!$F$49</f>
        <v/>
      </c>
      <c r="AB33" s="52">
        <f>AB32/Inputs_Scenarios!$C$7*Inputs_Scenarios!$F$49</f>
        <v/>
      </c>
      <c r="AC33" s="52">
        <f>AC32/Inputs_Scenarios!$C$7*Inputs_Scenarios!$F$49</f>
        <v/>
      </c>
      <c r="AD33" s="52">
        <f>AD32/Inputs_Scenarios!$C$7*Inputs_Scenarios!$F$49</f>
        <v/>
      </c>
      <c r="AE33" s="52">
        <f>AE32/Inputs_Scenarios!$C$7*Inputs_Scenarios!$F$49</f>
        <v/>
      </c>
      <c r="AF33" s="52">
        <f>AF32/Inputs_Scenarios!$C$7*Inputs_Scenarios!$F$49</f>
        <v/>
      </c>
      <c r="AG33" s="52">
        <f>AG32/Inputs_Scenarios!$C$7*Inputs_Scenarios!$F$49</f>
        <v/>
      </c>
      <c r="AH33" s="52">
        <f>AH32/Inputs_Scenarios!$C$7*Inputs_Scenarios!$F$49</f>
        <v/>
      </c>
      <c r="AI33" s="52">
        <f>AI32/Inputs_Scenarios!$C$7*Inputs_Scenarios!$F$49</f>
        <v/>
      </c>
      <c r="AJ33" s="52">
        <f>AJ32/Inputs_Scenarios!$C$7*Inputs_Scenarios!$F$49</f>
        <v/>
      </c>
      <c r="AK33" s="52">
        <f>AK32/Inputs_Scenarios!$C$7*Inputs_Scenarios!$F$49</f>
        <v/>
      </c>
      <c r="AL33" s="52">
        <f>AL32/Inputs_Scenarios!$C$7*Inputs_Scenarios!$F$49</f>
        <v/>
      </c>
      <c r="AM33" s="52">
        <f>AM32/Inputs_Scenarios!$C$7*Inputs_Scenarios!$F$49</f>
        <v/>
      </c>
    </row>
    <row r="34">
      <c r="A34" s="4" t="inlineStr">
        <is>
          <t>a_cost</t>
        </is>
      </c>
      <c r="B34" t="inlineStr">
        <is>
          <t>A: AE cost + overhead + commission</t>
        </is>
      </c>
      <c r="D34" s="52">
        <f>Inputs_Scenarios!$F$35*Inputs_Scenarios!$F$36/Inputs_Scenarios!$C$7*(1+Inputs_Scenarios!$F$37)+Inputs_Scenarios!$F$41*D31</f>
        <v/>
      </c>
      <c r="E34" s="52">
        <f>Inputs_Scenarios!$F$35*Inputs_Scenarios!$F$36/Inputs_Scenarios!$C$7*(1+Inputs_Scenarios!$F$37)+Inputs_Scenarios!$F$41*E31</f>
        <v/>
      </c>
      <c r="F34" s="52">
        <f>Inputs_Scenarios!$F$35*Inputs_Scenarios!$F$36/Inputs_Scenarios!$C$7*(1+Inputs_Scenarios!$F$37)+Inputs_Scenarios!$F$41*F31</f>
        <v/>
      </c>
      <c r="G34" s="52">
        <f>Inputs_Scenarios!$F$35*Inputs_Scenarios!$F$36/Inputs_Scenarios!$C$7*(1+Inputs_Scenarios!$F$37)+Inputs_Scenarios!$F$41*G31</f>
        <v/>
      </c>
      <c r="H34" s="52">
        <f>Inputs_Scenarios!$F$35*Inputs_Scenarios!$F$36/Inputs_Scenarios!$C$7*(1+Inputs_Scenarios!$F$37)+Inputs_Scenarios!$F$41*H31</f>
        <v/>
      </c>
      <c r="I34" s="52">
        <f>Inputs_Scenarios!$F$35*Inputs_Scenarios!$F$36/Inputs_Scenarios!$C$7*(1+Inputs_Scenarios!$F$37)+Inputs_Scenarios!$F$41*I31</f>
        <v/>
      </c>
      <c r="J34" s="52">
        <f>Inputs_Scenarios!$F$35*Inputs_Scenarios!$F$36/Inputs_Scenarios!$C$7*(1+Inputs_Scenarios!$F$37)+Inputs_Scenarios!$F$41*J31</f>
        <v/>
      </c>
      <c r="K34" s="52">
        <f>Inputs_Scenarios!$F$35*Inputs_Scenarios!$F$36/Inputs_Scenarios!$C$7*(1+Inputs_Scenarios!$F$37)+Inputs_Scenarios!$F$41*K31</f>
        <v/>
      </c>
      <c r="L34" s="52">
        <f>Inputs_Scenarios!$F$35*Inputs_Scenarios!$F$36/Inputs_Scenarios!$C$7*(1+Inputs_Scenarios!$F$37)+Inputs_Scenarios!$F$41*L31</f>
        <v/>
      </c>
      <c r="M34" s="52">
        <f>Inputs_Scenarios!$F$35*Inputs_Scenarios!$F$36/Inputs_Scenarios!$C$7*(1+Inputs_Scenarios!$F$37)+Inputs_Scenarios!$F$41*M31</f>
        <v/>
      </c>
      <c r="N34" s="52">
        <f>Inputs_Scenarios!$F$35*Inputs_Scenarios!$F$36/Inputs_Scenarios!$C$7*(1+Inputs_Scenarios!$F$37)+Inputs_Scenarios!$F$41*N31</f>
        <v/>
      </c>
      <c r="O34" s="52">
        <f>Inputs_Scenarios!$F$35*Inputs_Scenarios!$F$36/Inputs_Scenarios!$C$7*(1+Inputs_Scenarios!$F$37)+Inputs_Scenarios!$F$41*O31</f>
        <v/>
      </c>
      <c r="P34" s="52">
        <f>Inputs_Scenarios!$F$35*Inputs_Scenarios!$F$36/Inputs_Scenarios!$C$7*(1+Inputs_Scenarios!$F$37)+Inputs_Scenarios!$F$41*P31</f>
        <v/>
      </c>
      <c r="Q34" s="52">
        <f>Inputs_Scenarios!$F$35*Inputs_Scenarios!$F$36/Inputs_Scenarios!$C$7*(1+Inputs_Scenarios!$F$37)+Inputs_Scenarios!$F$41*Q31</f>
        <v/>
      </c>
      <c r="R34" s="52">
        <f>Inputs_Scenarios!$F$35*Inputs_Scenarios!$F$36/Inputs_Scenarios!$C$7*(1+Inputs_Scenarios!$F$37)+Inputs_Scenarios!$F$41*R31</f>
        <v/>
      </c>
      <c r="S34" s="52">
        <f>Inputs_Scenarios!$F$35*Inputs_Scenarios!$F$36/Inputs_Scenarios!$C$7*(1+Inputs_Scenarios!$F$37)+Inputs_Scenarios!$F$41*S31</f>
        <v/>
      </c>
      <c r="T34" s="52">
        <f>Inputs_Scenarios!$F$35*Inputs_Scenarios!$F$36/Inputs_Scenarios!$C$7*(1+Inputs_Scenarios!$F$37)+Inputs_Scenarios!$F$41*T31</f>
        <v/>
      </c>
      <c r="U34" s="52">
        <f>Inputs_Scenarios!$F$35*Inputs_Scenarios!$F$36/Inputs_Scenarios!$C$7*(1+Inputs_Scenarios!$F$37)+Inputs_Scenarios!$F$41*U31</f>
        <v/>
      </c>
      <c r="V34" s="52">
        <f>Inputs_Scenarios!$F$35*Inputs_Scenarios!$F$36/Inputs_Scenarios!$C$7*(1+Inputs_Scenarios!$F$37)+Inputs_Scenarios!$F$41*V31</f>
        <v/>
      </c>
      <c r="W34" s="52">
        <f>Inputs_Scenarios!$F$35*Inputs_Scenarios!$F$36/Inputs_Scenarios!$C$7*(1+Inputs_Scenarios!$F$37)+Inputs_Scenarios!$F$41*W31</f>
        <v/>
      </c>
      <c r="X34" s="52">
        <f>Inputs_Scenarios!$F$35*Inputs_Scenarios!$F$36/Inputs_Scenarios!$C$7*(1+Inputs_Scenarios!$F$37)+Inputs_Scenarios!$F$41*X31</f>
        <v/>
      </c>
      <c r="Y34" s="52">
        <f>Inputs_Scenarios!$F$35*Inputs_Scenarios!$F$36/Inputs_Scenarios!$C$7*(1+Inputs_Scenarios!$F$37)+Inputs_Scenarios!$F$41*Y31</f>
        <v/>
      </c>
      <c r="Z34" s="52">
        <f>Inputs_Scenarios!$F$35*Inputs_Scenarios!$F$36/Inputs_Scenarios!$C$7*(1+Inputs_Scenarios!$F$37)+Inputs_Scenarios!$F$41*Z31</f>
        <v/>
      </c>
      <c r="AA34" s="52">
        <f>Inputs_Scenarios!$F$35*Inputs_Scenarios!$F$36/Inputs_Scenarios!$C$7*(1+Inputs_Scenarios!$F$37)+Inputs_Scenarios!$F$41*AA31</f>
        <v/>
      </c>
      <c r="AB34" s="52">
        <f>Inputs_Scenarios!$F$35*Inputs_Scenarios!$F$36/Inputs_Scenarios!$C$7*(1+Inputs_Scenarios!$F$37)+Inputs_Scenarios!$F$41*AB31</f>
        <v/>
      </c>
      <c r="AC34" s="52">
        <f>Inputs_Scenarios!$F$35*Inputs_Scenarios!$F$36/Inputs_Scenarios!$C$7*(1+Inputs_Scenarios!$F$37)+Inputs_Scenarios!$F$41*AC31</f>
        <v/>
      </c>
      <c r="AD34" s="52">
        <f>Inputs_Scenarios!$F$35*Inputs_Scenarios!$F$36/Inputs_Scenarios!$C$7*(1+Inputs_Scenarios!$F$37)+Inputs_Scenarios!$F$41*AD31</f>
        <v/>
      </c>
      <c r="AE34" s="52">
        <f>Inputs_Scenarios!$F$35*Inputs_Scenarios!$F$36/Inputs_Scenarios!$C$7*(1+Inputs_Scenarios!$F$37)+Inputs_Scenarios!$F$41*AE31</f>
        <v/>
      </c>
      <c r="AF34" s="52">
        <f>Inputs_Scenarios!$F$35*Inputs_Scenarios!$F$36/Inputs_Scenarios!$C$7*(1+Inputs_Scenarios!$F$37)+Inputs_Scenarios!$F$41*AF31</f>
        <v/>
      </c>
      <c r="AG34" s="52">
        <f>Inputs_Scenarios!$F$35*Inputs_Scenarios!$F$36/Inputs_Scenarios!$C$7*(1+Inputs_Scenarios!$F$37)+Inputs_Scenarios!$F$41*AG31</f>
        <v/>
      </c>
      <c r="AH34" s="52">
        <f>Inputs_Scenarios!$F$35*Inputs_Scenarios!$F$36/Inputs_Scenarios!$C$7*(1+Inputs_Scenarios!$F$37)+Inputs_Scenarios!$F$41*AH31</f>
        <v/>
      </c>
      <c r="AI34" s="52">
        <f>Inputs_Scenarios!$F$35*Inputs_Scenarios!$F$36/Inputs_Scenarios!$C$7*(1+Inputs_Scenarios!$F$37)+Inputs_Scenarios!$F$41*AI31</f>
        <v/>
      </c>
      <c r="AJ34" s="52">
        <f>Inputs_Scenarios!$F$35*Inputs_Scenarios!$F$36/Inputs_Scenarios!$C$7*(1+Inputs_Scenarios!$F$37)+Inputs_Scenarios!$F$41*AJ31</f>
        <v/>
      </c>
      <c r="AK34" s="52">
        <f>Inputs_Scenarios!$F$35*Inputs_Scenarios!$F$36/Inputs_Scenarios!$C$7*(1+Inputs_Scenarios!$F$37)+Inputs_Scenarios!$F$41*AK31</f>
        <v/>
      </c>
      <c r="AL34" s="52">
        <f>Inputs_Scenarios!$F$35*Inputs_Scenarios!$F$36/Inputs_Scenarios!$C$7*(1+Inputs_Scenarios!$F$37)+Inputs_Scenarios!$F$41*AL31</f>
        <v/>
      </c>
      <c r="AM34" s="52">
        <f>Inputs_Scenarios!$F$35*Inputs_Scenarios!$F$36/Inputs_Scenarios!$C$7*(1+Inputs_Scenarios!$F$37)+Inputs_Scenarios!$F$41*AM31</f>
        <v/>
      </c>
    </row>
    <row r="35">
      <c r="A35" s="4" t="inlineStr">
        <is>
          <t>a_net</t>
        </is>
      </c>
      <c r="B35" t="inlineStr">
        <is>
          <t>A: net cash flow</t>
        </is>
      </c>
      <c r="D35" s="52">
        <f>D33-D34</f>
        <v/>
      </c>
      <c r="E35" s="52">
        <f>E33-E34</f>
        <v/>
      </c>
      <c r="F35" s="52">
        <f>F33-F34</f>
        <v/>
      </c>
      <c r="G35" s="52">
        <f>G33-G34</f>
        <v/>
      </c>
      <c r="H35" s="52">
        <f>H33-H34</f>
        <v/>
      </c>
      <c r="I35" s="52">
        <f>I33-I34</f>
        <v/>
      </c>
      <c r="J35" s="52">
        <f>J33-J34</f>
        <v/>
      </c>
      <c r="K35" s="52">
        <f>K33-K34</f>
        <v/>
      </c>
      <c r="L35" s="52">
        <f>L33-L34</f>
        <v/>
      </c>
      <c r="M35" s="52">
        <f>M33-M34</f>
        <v/>
      </c>
      <c r="N35" s="52">
        <f>N33-N34</f>
        <v/>
      </c>
      <c r="O35" s="52">
        <f>O33-O34</f>
        <v/>
      </c>
      <c r="P35" s="52">
        <f>P33-P34</f>
        <v/>
      </c>
      <c r="Q35" s="52">
        <f>Q33-Q34</f>
        <v/>
      </c>
      <c r="R35" s="52">
        <f>R33-R34</f>
        <v/>
      </c>
      <c r="S35" s="52">
        <f>S33-S34</f>
        <v/>
      </c>
      <c r="T35" s="52">
        <f>T33-T34</f>
        <v/>
      </c>
      <c r="U35" s="52">
        <f>U33-U34</f>
        <v/>
      </c>
      <c r="V35" s="52">
        <f>V33-V34</f>
        <v/>
      </c>
      <c r="W35" s="52">
        <f>W33-W34</f>
        <v/>
      </c>
      <c r="X35" s="52">
        <f>X33-X34</f>
        <v/>
      </c>
      <c r="Y35" s="52">
        <f>Y33-Y34</f>
        <v/>
      </c>
      <c r="Z35" s="52">
        <f>Z33-Z34</f>
        <v/>
      </c>
      <c r="AA35" s="52">
        <f>AA33-AA34</f>
        <v/>
      </c>
      <c r="AB35" s="52">
        <f>AB33-AB34</f>
        <v/>
      </c>
      <c r="AC35" s="52">
        <f>AC33-AC34</f>
        <v/>
      </c>
      <c r="AD35" s="52">
        <f>AD33-AD34</f>
        <v/>
      </c>
      <c r="AE35" s="52">
        <f>AE33-AE34</f>
        <v/>
      </c>
      <c r="AF35" s="52">
        <f>AF33-AF34</f>
        <v/>
      </c>
      <c r="AG35" s="52">
        <f>AG33-AG34</f>
        <v/>
      </c>
      <c r="AH35" s="52">
        <f>AH33-AH34</f>
        <v/>
      </c>
      <c r="AI35" s="52">
        <f>AI33-AI34</f>
        <v/>
      </c>
      <c r="AJ35" s="52">
        <f>AJ33-AJ34</f>
        <v/>
      </c>
      <c r="AK35" s="52">
        <f>AK33-AK34</f>
        <v/>
      </c>
      <c r="AL35" s="52">
        <f>AL33-AL34</f>
        <v/>
      </c>
      <c r="AM35" s="52">
        <f>AM33-AM34</f>
        <v/>
      </c>
    </row>
    <row r="36">
      <c r="A36" s="4" t="inlineStr">
        <is>
          <t>a_cum</t>
        </is>
      </c>
      <c r="B36" t="inlineStr">
        <is>
          <t>A: cumulative</t>
        </is>
      </c>
      <c r="D36" s="52">
        <f>D35</f>
        <v/>
      </c>
      <c r="E36" s="52">
        <f>D36+E35</f>
        <v/>
      </c>
      <c r="F36" s="52">
        <f>E36+F35</f>
        <v/>
      </c>
      <c r="G36" s="52">
        <f>F36+G35</f>
        <v/>
      </c>
      <c r="H36" s="52">
        <f>G36+H35</f>
        <v/>
      </c>
      <c r="I36" s="52">
        <f>H36+I35</f>
        <v/>
      </c>
      <c r="J36" s="52">
        <f>I36+J35</f>
        <v/>
      </c>
      <c r="K36" s="52">
        <f>J36+K35</f>
        <v/>
      </c>
      <c r="L36" s="52">
        <f>K36+L35</f>
        <v/>
      </c>
      <c r="M36" s="52">
        <f>L36+M35</f>
        <v/>
      </c>
      <c r="N36" s="52">
        <f>M36+N35</f>
        <v/>
      </c>
      <c r="O36" s="52">
        <f>N36+O35</f>
        <v/>
      </c>
      <c r="P36" s="52">
        <f>O36+P35</f>
        <v/>
      </c>
      <c r="Q36" s="52">
        <f>P36+Q35</f>
        <v/>
      </c>
      <c r="R36" s="52">
        <f>Q36+R35</f>
        <v/>
      </c>
      <c r="S36" s="52">
        <f>R36+S35</f>
        <v/>
      </c>
      <c r="T36" s="52">
        <f>S36+T35</f>
        <v/>
      </c>
      <c r="U36" s="52">
        <f>T36+U35</f>
        <v/>
      </c>
      <c r="V36" s="52">
        <f>U36+V35</f>
        <v/>
      </c>
      <c r="W36" s="52">
        <f>V36+W35</f>
        <v/>
      </c>
      <c r="X36" s="52">
        <f>W36+X35</f>
        <v/>
      </c>
      <c r="Y36" s="52">
        <f>X36+Y35</f>
        <v/>
      </c>
      <c r="Z36" s="52">
        <f>Y36+Z35</f>
        <v/>
      </c>
      <c r="AA36" s="52">
        <f>Z36+AA35</f>
        <v/>
      </c>
      <c r="AB36" s="52">
        <f>AA36+AB35</f>
        <v/>
      </c>
      <c r="AC36" s="52">
        <f>AB36+AC35</f>
        <v/>
      </c>
      <c r="AD36" s="52">
        <f>AC36+AD35</f>
        <v/>
      </c>
      <c r="AE36" s="52">
        <f>AD36+AE35</f>
        <v/>
      </c>
      <c r="AF36" s="52">
        <f>AE36+AF35</f>
        <v/>
      </c>
      <c r="AG36" s="52">
        <f>AF36+AG35</f>
        <v/>
      </c>
      <c r="AH36" s="52">
        <f>AG36+AH35</f>
        <v/>
      </c>
      <c r="AI36" s="52">
        <f>AH36+AI35</f>
        <v/>
      </c>
      <c r="AJ36" s="52">
        <f>AI36+AJ35</f>
        <v/>
      </c>
      <c r="AK36" s="52">
        <f>AJ36+AK35</f>
        <v/>
      </c>
      <c r="AL36" s="52">
        <f>AK36+AL35</f>
        <v/>
      </c>
      <c r="AM36" s="52">
        <f>AL36+AM35</f>
        <v/>
      </c>
    </row>
    <row r="37">
      <c r="A37" s="4" t="inlineStr">
        <is>
          <t>b_adopt</t>
        </is>
      </c>
      <c r="B37" t="inlineStr">
        <is>
          <t>B: adoption</t>
        </is>
      </c>
      <c r="D37" s="51">
        <f>MIN(1,D28/Inputs_Scenarios!$F$45)</f>
        <v/>
      </c>
      <c r="E37" s="51">
        <f>MIN(1,E28/Inputs_Scenarios!$F$45)</f>
        <v/>
      </c>
      <c r="F37" s="51">
        <f>MIN(1,F28/Inputs_Scenarios!$F$45)</f>
        <v/>
      </c>
      <c r="G37" s="51">
        <f>MIN(1,G28/Inputs_Scenarios!$F$45)</f>
        <v/>
      </c>
      <c r="H37" s="51">
        <f>MIN(1,H28/Inputs_Scenarios!$F$45)</f>
        <v/>
      </c>
      <c r="I37" s="51">
        <f>MIN(1,I28/Inputs_Scenarios!$F$45)</f>
        <v/>
      </c>
      <c r="J37" s="51">
        <f>MIN(1,J28/Inputs_Scenarios!$F$45)</f>
        <v/>
      </c>
      <c r="K37" s="51">
        <f>MIN(1,K28/Inputs_Scenarios!$F$45)</f>
        <v/>
      </c>
      <c r="L37" s="51">
        <f>MIN(1,L28/Inputs_Scenarios!$F$45)</f>
        <v/>
      </c>
      <c r="M37" s="51">
        <f>MIN(1,M28/Inputs_Scenarios!$F$45)</f>
        <v/>
      </c>
      <c r="N37" s="51">
        <f>MIN(1,N28/Inputs_Scenarios!$F$45)</f>
        <v/>
      </c>
      <c r="O37" s="51">
        <f>MIN(1,O28/Inputs_Scenarios!$F$45)</f>
        <v/>
      </c>
      <c r="P37" s="51">
        <f>MIN(1,P28/Inputs_Scenarios!$F$45)</f>
        <v/>
      </c>
      <c r="Q37" s="51">
        <f>MIN(1,Q28/Inputs_Scenarios!$F$45)</f>
        <v/>
      </c>
      <c r="R37" s="51">
        <f>MIN(1,R28/Inputs_Scenarios!$F$45)</f>
        <v/>
      </c>
      <c r="S37" s="51">
        <f>MIN(1,S28/Inputs_Scenarios!$F$45)</f>
        <v/>
      </c>
      <c r="T37" s="51">
        <f>MIN(1,T28/Inputs_Scenarios!$F$45)</f>
        <v/>
      </c>
      <c r="U37" s="51">
        <f>MIN(1,U28/Inputs_Scenarios!$F$45)</f>
        <v/>
      </c>
      <c r="V37" s="51">
        <f>MIN(1,V28/Inputs_Scenarios!$F$45)</f>
        <v/>
      </c>
      <c r="W37" s="51">
        <f>MIN(1,W28/Inputs_Scenarios!$F$45)</f>
        <v/>
      </c>
      <c r="X37" s="51">
        <f>MIN(1,X28/Inputs_Scenarios!$F$45)</f>
        <v/>
      </c>
      <c r="Y37" s="51">
        <f>MIN(1,Y28/Inputs_Scenarios!$F$45)</f>
        <v/>
      </c>
      <c r="Z37" s="51">
        <f>MIN(1,Z28/Inputs_Scenarios!$F$45)</f>
        <v/>
      </c>
      <c r="AA37" s="51">
        <f>MIN(1,AA28/Inputs_Scenarios!$F$45)</f>
        <v/>
      </c>
      <c r="AB37" s="51">
        <f>MIN(1,AB28/Inputs_Scenarios!$F$45)</f>
        <v/>
      </c>
      <c r="AC37" s="51">
        <f>MIN(1,AC28/Inputs_Scenarios!$F$45)</f>
        <v/>
      </c>
      <c r="AD37" s="51">
        <f>MIN(1,AD28/Inputs_Scenarios!$F$45)</f>
        <v/>
      </c>
      <c r="AE37" s="51">
        <f>MIN(1,AE28/Inputs_Scenarios!$F$45)</f>
        <v/>
      </c>
      <c r="AF37" s="51">
        <f>MIN(1,AF28/Inputs_Scenarios!$F$45)</f>
        <v/>
      </c>
      <c r="AG37" s="51">
        <f>MIN(1,AG28/Inputs_Scenarios!$F$45)</f>
        <v/>
      </c>
      <c r="AH37" s="51">
        <f>MIN(1,AH28/Inputs_Scenarios!$F$45)</f>
        <v/>
      </c>
      <c r="AI37" s="51">
        <f>MIN(1,AI28/Inputs_Scenarios!$F$45)</f>
        <v/>
      </c>
      <c r="AJ37" s="51">
        <f>MIN(1,AJ28/Inputs_Scenarios!$F$45)</f>
        <v/>
      </c>
      <c r="AK37" s="51">
        <f>MIN(1,AK28/Inputs_Scenarios!$F$45)</f>
        <v/>
      </c>
      <c r="AL37" s="51">
        <f>MIN(1,AL28/Inputs_Scenarios!$F$45)</f>
        <v/>
      </c>
      <c r="AM37" s="51">
        <f>MIN(1,AM28/Inputs_Scenarios!$F$45)</f>
        <v/>
      </c>
    </row>
    <row r="38">
      <c r="A38" s="4" t="inlineStr">
        <is>
          <t>b_target</t>
        </is>
      </c>
      <c r="B38" t="inlineStr">
        <is>
          <t>B: attach ARR target</t>
        </is>
      </c>
      <c r="D38" s="52">
        <f>Inputs_Scenarios!$F$42*Inputs_Scenarios!$F$43*Inputs_Scenarios!$F$44*D37</f>
        <v/>
      </c>
      <c r="E38" s="52">
        <f>Inputs_Scenarios!$F$42*Inputs_Scenarios!$F$43*Inputs_Scenarios!$F$44*E37</f>
        <v/>
      </c>
      <c r="F38" s="52">
        <f>Inputs_Scenarios!$F$42*Inputs_Scenarios!$F$43*Inputs_Scenarios!$F$44*F37</f>
        <v/>
      </c>
      <c r="G38" s="52">
        <f>Inputs_Scenarios!$F$42*Inputs_Scenarios!$F$43*Inputs_Scenarios!$F$44*G37</f>
        <v/>
      </c>
      <c r="H38" s="52">
        <f>Inputs_Scenarios!$F$42*Inputs_Scenarios!$F$43*Inputs_Scenarios!$F$44*H37</f>
        <v/>
      </c>
      <c r="I38" s="52">
        <f>Inputs_Scenarios!$F$42*Inputs_Scenarios!$F$43*Inputs_Scenarios!$F$44*I37</f>
        <v/>
      </c>
      <c r="J38" s="52">
        <f>Inputs_Scenarios!$F$42*Inputs_Scenarios!$F$43*Inputs_Scenarios!$F$44*J37</f>
        <v/>
      </c>
      <c r="K38" s="52">
        <f>Inputs_Scenarios!$F$42*Inputs_Scenarios!$F$43*Inputs_Scenarios!$F$44*K37</f>
        <v/>
      </c>
      <c r="L38" s="52">
        <f>Inputs_Scenarios!$F$42*Inputs_Scenarios!$F$43*Inputs_Scenarios!$F$44*L37</f>
        <v/>
      </c>
      <c r="M38" s="52">
        <f>Inputs_Scenarios!$F$42*Inputs_Scenarios!$F$43*Inputs_Scenarios!$F$44*M37</f>
        <v/>
      </c>
      <c r="N38" s="52">
        <f>Inputs_Scenarios!$F$42*Inputs_Scenarios!$F$43*Inputs_Scenarios!$F$44*N37</f>
        <v/>
      </c>
      <c r="O38" s="52">
        <f>Inputs_Scenarios!$F$42*Inputs_Scenarios!$F$43*Inputs_Scenarios!$F$44*O37</f>
        <v/>
      </c>
      <c r="P38" s="52">
        <f>Inputs_Scenarios!$F$42*Inputs_Scenarios!$F$43*Inputs_Scenarios!$F$44*P37</f>
        <v/>
      </c>
      <c r="Q38" s="52">
        <f>Inputs_Scenarios!$F$42*Inputs_Scenarios!$F$43*Inputs_Scenarios!$F$44*Q37</f>
        <v/>
      </c>
      <c r="R38" s="52">
        <f>Inputs_Scenarios!$F$42*Inputs_Scenarios!$F$43*Inputs_Scenarios!$F$44*R37</f>
        <v/>
      </c>
      <c r="S38" s="52">
        <f>Inputs_Scenarios!$F$42*Inputs_Scenarios!$F$43*Inputs_Scenarios!$F$44*S37</f>
        <v/>
      </c>
      <c r="T38" s="52">
        <f>Inputs_Scenarios!$F$42*Inputs_Scenarios!$F$43*Inputs_Scenarios!$F$44*T37</f>
        <v/>
      </c>
      <c r="U38" s="52">
        <f>Inputs_Scenarios!$F$42*Inputs_Scenarios!$F$43*Inputs_Scenarios!$F$44*U37</f>
        <v/>
      </c>
      <c r="V38" s="52">
        <f>Inputs_Scenarios!$F$42*Inputs_Scenarios!$F$43*Inputs_Scenarios!$F$44*V37</f>
        <v/>
      </c>
      <c r="W38" s="52">
        <f>Inputs_Scenarios!$F$42*Inputs_Scenarios!$F$43*Inputs_Scenarios!$F$44*W37</f>
        <v/>
      </c>
      <c r="X38" s="52">
        <f>Inputs_Scenarios!$F$42*Inputs_Scenarios!$F$43*Inputs_Scenarios!$F$44*X37</f>
        <v/>
      </c>
      <c r="Y38" s="52">
        <f>Inputs_Scenarios!$F$42*Inputs_Scenarios!$F$43*Inputs_Scenarios!$F$44*Y37</f>
        <v/>
      </c>
      <c r="Z38" s="52">
        <f>Inputs_Scenarios!$F$42*Inputs_Scenarios!$F$43*Inputs_Scenarios!$F$44*Z37</f>
        <v/>
      </c>
      <c r="AA38" s="52">
        <f>Inputs_Scenarios!$F$42*Inputs_Scenarios!$F$43*Inputs_Scenarios!$F$44*AA37</f>
        <v/>
      </c>
      <c r="AB38" s="52">
        <f>Inputs_Scenarios!$F$42*Inputs_Scenarios!$F$43*Inputs_Scenarios!$F$44*AB37</f>
        <v/>
      </c>
      <c r="AC38" s="52">
        <f>Inputs_Scenarios!$F$42*Inputs_Scenarios!$F$43*Inputs_Scenarios!$F$44*AC37</f>
        <v/>
      </c>
      <c r="AD38" s="52">
        <f>Inputs_Scenarios!$F$42*Inputs_Scenarios!$F$43*Inputs_Scenarios!$F$44*AD37</f>
        <v/>
      </c>
      <c r="AE38" s="52">
        <f>Inputs_Scenarios!$F$42*Inputs_Scenarios!$F$43*Inputs_Scenarios!$F$44*AE37</f>
        <v/>
      </c>
      <c r="AF38" s="52">
        <f>Inputs_Scenarios!$F$42*Inputs_Scenarios!$F$43*Inputs_Scenarios!$F$44*AF37</f>
        <v/>
      </c>
      <c r="AG38" s="52">
        <f>Inputs_Scenarios!$F$42*Inputs_Scenarios!$F$43*Inputs_Scenarios!$F$44*AG37</f>
        <v/>
      </c>
      <c r="AH38" s="52">
        <f>Inputs_Scenarios!$F$42*Inputs_Scenarios!$F$43*Inputs_Scenarios!$F$44*AH37</f>
        <v/>
      </c>
      <c r="AI38" s="52">
        <f>Inputs_Scenarios!$F$42*Inputs_Scenarios!$F$43*Inputs_Scenarios!$F$44*AI37</f>
        <v/>
      </c>
      <c r="AJ38" s="52">
        <f>Inputs_Scenarios!$F$42*Inputs_Scenarios!$F$43*Inputs_Scenarios!$F$44*AJ37</f>
        <v/>
      </c>
      <c r="AK38" s="52">
        <f>Inputs_Scenarios!$F$42*Inputs_Scenarios!$F$43*Inputs_Scenarios!$F$44*AK37</f>
        <v/>
      </c>
      <c r="AL38" s="52">
        <f>Inputs_Scenarios!$F$42*Inputs_Scenarios!$F$43*Inputs_Scenarios!$F$44*AL37</f>
        <v/>
      </c>
      <c r="AM38" s="52">
        <f>Inputs_Scenarios!$F$42*Inputs_Scenarios!$F$43*Inputs_Scenarios!$F$44*AM37</f>
        <v/>
      </c>
    </row>
    <row r="39">
      <c r="A39" s="4" t="inlineStr">
        <is>
          <t>b_added</t>
        </is>
      </c>
      <c r="B39" t="inlineStr">
        <is>
          <t>B: new ARR added</t>
        </is>
      </c>
      <c r="D39" s="52">
        <f>MAX(0,D38)</f>
        <v/>
      </c>
      <c r="E39" s="52">
        <f>MAX(0,E38-D38)</f>
        <v/>
      </c>
      <c r="F39" s="52">
        <f>MAX(0,F38-E38)</f>
        <v/>
      </c>
      <c r="G39" s="52">
        <f>MAX(0,G38-F38)</f>
        <v/>
      </c>
      <c r="H39" s="52">
        <f>MAX(0,H38-G38)</f>
        <v/>
      </c>
      <c r="I39" s="52">
        <f>MAX(0,I38-H38)</f>
        <v/>
      </c>
      <c r="J39" s="52">
        <f>MAX(0,J38-I38)</f>
        <v/>
      </c>
      <c r="K39" s="52">
        <f>MAX(0,K38-J38)</f>
        <v/>
      </c>
      <c r="L39" s="52">
        <f>MAX(0,L38-K38)</f>
        <v/>
      </c>
      <c r="M39" s="52">
        <f>MAX(0,M38-L38)</f>
        <v/>
      </c>
      <c r="N39" s="52">
        <f>MAX(0,N38-M38)</f>
        <v/>
      </c>
      <c r="O39" s="52">
        <f>MAX(0,O38-N38)</f>
        <v/>
      </c>
      <c r="P39" s="52">
        <f>MAX(0,P38-O38)</f>
        <v/>
      </c>
      <c r="Q39" s="52">
        <f>MAX(0,Q38-P38)</f>
        <v/>
      </c>
      <c r="R39" s="52">
        <f>MAX(0,R38-Q38)</f>
        <v/>
      </c>
      <c r="S39" s="52">
        <f>MAX(0,S38-R38)</f>
        <v/>
      </c>
      <c r="T39" s="52">
        <f>MAX(0,T38-S38)</f>
        <v/>
      </c>
      <c r="U39" s="52">
        <f>MAX(0,U38-T38)</f>
        <v/>
      </c>
      <c r="V39" s="52">
        <f>MAX(0,V38-U38)</f>
        <v/>
      </c>
      <c r="W39" s="52">
        <f>MAX(0,W38-V38)</f>
        <v/>
      </c>
      <c r="X39" s="52">
        <f>MAX(0,X38-W38)</f>
        <v/>
      </c>
      <c r="Y39" s="52">
        <f>MAX(0,Y38-X38)</f>
        <v/>
      </c>
      <c r="Z39" s="52">
        <f>MAX(0,Z38-Y38)</f>
        <v/>
      </c>
      <c r="AA39" s="52">
        <f>MAX(0,AA38-Z38)</f>
        <v/>
      </c>
      <c r="AB39" s="52">
        <f>MAX(0,AB38-AA38)</f>
        <v/>
      </c>
      <c r="AC39" s="52">
        <f>MAX(0,AC38-AB38)</f>
        <v/>
      </c>
      <c r="AD39" s="52">
        <f>MAX(0,AD38-AC38)</f>
        <v/>
      </c>
      <c r="AE39" s="52">
        <f>MAX(0,AE38-AD38)</f>
        <v/>
      </c>
      <c r="AF39" s="52">
        <f>MAX(0,AF38-AE38)</f>
        <v/>
      </c>
      <c r="AG39" s="52">
        <f>MAX(0,AG38-AF38)</f>
        <v/>
      </c>
      <c r="AH39" s="52">
        <f>MAX(0,AH38-AG38)</f>
        <v/>
      </c>
      <c r="AI39" s="52">
        <f>MAX(0,AI38-AH38)</f>
        <v/>
      </c>
      <c r="AJ39" s="52">
        <f>MAX(0,AJ38-AI38)</f>
        <v/>
      </c>
      <c r="AK39" s="52">
        <f>MAX(0,AK38-AJ38)</f>
        <v/>
      </c>
      <c r="AL39" s="52">
        <f>MAX(0,AL38-AK38)</f>
        <v/>
      </c>
      <c r="AM39" s="52">
        <f>MAX(0,AM38-AL38)</f>
        <v/>
      </c>
    </row>
    <row r="40">
      <c r="A40" s="4" t="inlineStr">
        <is>
          <t>b_arr</t>
        </is>
      </c>
      <c r="B40" t="inlineStr">
        <is>
          <t>B: ARR</t>
        </is>
      </c>
      <c r="D40" s="52">
        <f>D39</f>
        <v/>
      </c>
      <c r="E40" s="52">
        <f>D40*(1+E29)+E39</f>
        <v/>
      </c>
      <c r="F40" s="52">
        <f>E40*(1+F29)+F39</f>
        <v/>
      </c>
      <c r="G40" s="52">
        <f>F40*(1+G29)+G39</f>
        <v/>
      </c>
      <c r="H40" s="52">
        <f>G40*(1+H29)+H39</f>
        <v/>
      </c>
      <c r="I40" s="52">
        <f>H40*(1+I29)+I39</f>
        <v/>
      </c>
      <c r="J40" s="52">
        <f>I40*(1+J29)+J39</f>
        <v/>
      </c>
      <c r="K40" s="52">
        <f>J40*(1+K29)+K39</f>
        <v/>
      </c>
      <c r="L40" s="52">
        <f>K40*(1+L29)+L39</f>
        <v/>
      </c>
      <c r="M40" s="52">
        <f>L40*(1+M29)+M39</f>
        <v/>
      </c>
      <c r="N40" s="52">
        <f>M40*(1+N29)+N39</f>
        <v/>
      </c>
      <c r="O40" s="52">
        <f>N40*(1+O29)+O39</f>
        <v/>
      </c>
      <c r="P40" s="52">
        <f>O40*(1+P29)+P39</f>
        <v/>
      </c>
      <c r="Q40" s="52">
        <f>P40*(1+Q29)+Q39</f>
        <v/>
      </c>
      <c r="R40" s="52">
        <f>Q40*(1+R29)+R39</f>
        <v/>
      </c>
      <c r="S40" s="52">
        <f>R40*(1+S29)+S39</f>
        <v/>
      </c>
      <c r="T40" s="52">
        <f>S40*(1+T29)+T39</f>
        <v/>
      </c>
      <c r="U40" s="52">
        <f>T40*(1+U29)+U39</f>
        <v/>
      </c>
      <c r="V40" s="52">
        <f>U40*(1+V29)+V39</f>
        <v/>
      </c>
      <c r="W40" s="52">
        <f>V40*(1+W29)+W39</f>
        <v/>
      </c>
      <c r="X40" s="52">
        <f>W40*(1+X29)+X39</f>
        <v/>
      </c>
      <c r="Y40" s="52">
        <f>X40*(1+Y29)+Y39</f>
        <v/>
      </c>
      <c r="Z40" s="52">
        <f>Y40*(1+Z29)+Z39</f>
        <v/>
      </c>
      <c r="AA40" s="52">
        <f>Z40*(1+AA29)+AA39</f>
        <v/>
      </c>
      <c r="AB40" s="52">
        <f>AA40*(1+AB29)+AB39</f>
        <v/>
      </c>
      <c r="AC40" s="52">
        <f>AB40*(1+AC29)+AC39</f>
        <v/>
      </c>
      <c r="AD40" s="52">
        <f>AC40*(1+AD29)+AD39</f>
        <v/>
      </c>
      <c r="AE40" s="52">
        <f>AD40*(1+AE29)+AE39</f>
        <v/>
      </c>
      <c r="AF40" s="52">
        <f>AE40*(1+AF29)+AF39</f>
        <v/>
      </c>
      <c r="AG40" s="52">
        <f>AF40*(1+AG29)+AG39</f>
        <v/>
      </c>
      <c r="AH40" s="52">
        <f>AG40*(1+AH29)+AH39</f>
        <v/>
      </c>
      <c r="AI40" s="52">
        <f>AH40*(1+AI29)+AI39</f>
        <v/>
      </c>
      <c r="AJ40" s="52">
        <f>AI40*(1+AJ29)+AJ39</f>
        <v/>
      </c>
      <c r="AK40" s="52">
        <f>AJ40*(1+AK29)+AK39</f>
        <v/>
      </c>
      <c r="AL40" s="52">
        <f>AK40*(1+AL29)+AL39</f>
        <v/>
      </c>
      <c r="AM40" s="52">
        <f>AL40*(1+AM29)+AM39</f>
        <v/>
      </c>
    </row>
    <row r="41">
      <c r="A41" s="4" t="inlineStr">
        <is>
          <t>b_gp</t>
        </is>
      </c>
      <c r="B41" t="inlineStr">
        <is>
          <t>B: gross profit</t>
        </is>
      </c>
      <c r="D41" s="52">
        <f>D40/Inputs_Scenarios!$C$7*Inputs_Scenarios!$F$49</f>
        <v/>
      </c>
      <c r="E41" s="52">
        <f>E40/Inputs_Scenarios!$C$7*Inputs_Scenarios!$F$49</f>
        <v/>
      </c>
      <c r="F41" s="52">
        <f>F40/Inputs_Scenarios!$C$7*Inputs_Scenarios!$F$49</f>
        <v/>
      </c>
      <c r="G41" s="52">
        <f>G40/Inputs_Scenarios!$C$7*Inputs_Scenarios!$F$49</f>
        <v/>
      </c>
      <c r="H41" s="52">
        <f>H40/Inputs_Scenarios!$C$7*Inputs_Scenarios!$F$49</f>
        <v/>
      </c>
      <c r="I41" s="52">
        <f>I40/Inputs_Scenarios!$C$7*Inputs_Scenarios!$F$49</f>
        <v/>
      </c>
      <c r="J41" s="52">
        <f>J40/Inputs_Scenarios!$C$7*Inputs_Scenarios!$F$49</f>
        <v/>
      </c>
      <c r="K41" s="52">
        <f>K40/Inputs_Scenarios!$C$7*Inputs_Scenarios!$F$49</f>
        <v/>
      </c>
      <c r="L41" s="52">
        <f>L40/Inputs_Scenarios!$C$7*Inputs_Scenarios!$F$49</f>
        <v/>
      </c>
      <c r="M41" s="52">
        <f>M40/Inputs_Scenarios!$C$7*Inputs_Scenarios!$F$49</f>
        <v/>
      </c>
      <c r="N41" s="52">
        <f>N40/Inputs_Scenarios!$C$7*Inputs_Scenarios!$F$49</f>
        <v/>
      </c>
      <c r="O41" s="52">
        <f>O40/Inputs_Scenarios!$C$7*Inputs_Scenarios!$F$49</f>
        <v/>
      </c>
      <c r="P41" s="52">
        <f>P40/Inputs_Scenarios!$C$7*Inputs_Scenarios!$F$49</f>
        <v/>
      </c>
      <c r="Q41" s="52">
        <f>Q40/Inputs_Scenarios!$C$7*Inputs_Scenarios!$F$49</f>
        <v/>
      </c>
      <c r="R41" s="52">
        <f>R40/Inputs_Scenarios!$C$7*Inputs_Scenarios!$F$49</f>
        <v/>
      </c>
      <c r="S41" s="52">
        <f>S40/Inputs_Scenarios!$C$7*Inputs_Scenarios!$F$49</f>
        <v/>
      </c>
      <c r="T41" s="52">
        <f>T40/Inputs_Scenarios!$C$7*Inputs_Scenarios!$F$49</f>
        <v/>
      </c>
      <c r="U41" s="52">
        <f>U40/Inputs_Scenarios!$C$7*Inputs_Scenarios!$F$49</f>
        <v/>
      </c>
      <c r="V41" s="52">
        <f>V40/Inputs_Scenarios!$C$7*Inputs_Scenarios!$F$49</f>
        <v/>
      </c>
      <c r="W41" s="52">
        <f>W40/Inputs_Scenarios!$C$7*Inputs_Scenarios!$F$49</f>
        <v/>
      </c>
      <c r="X41" s="52">
        <f>X40/Inputs_Scenarios!$C$7*Inputs_Scenarios!$F$49</f>
        <v/>
      </c>
      <c r="Y41" s="52">
        <f>Y40/Inputs_Scenarios!$C$7*Inputs_Scenarios!$F$49</f>
        <v/>
      </c>
      <c r="Z41" s="52">
        <f>Z40/Inputs_Scenarios!$C$7*Inputs_Scenarios!$F$49</f>
        <v/>
      </c>
      <c r="AA41" s="52">
        <f>AA40/Inputs_Scenarios!$C$7*Inputs_Scenarios!$F$49</f>
        <v/>
      </c>
      <c r="AB41" s="52">
        <f>AB40/Inputs_Scenarios!$C$7*Inputs_Scenarios!$F$49</f>
        <v/>
      </c>
      <c r="AC41" s="52">
        <f>AC40/Inputs_Scenarios!$C$7*Inputs_Scenarios!$F$49</f>
        <v/>
      </c>
      <c r="AD41" s="52">
        <f>AD40/Inputs_Scenarios!$C$7*Inputs_Scenarios!$F$49</f>
        <v/>
      </c>
      <c r="AE41" s="52">
        <f>AE40/Inputs_Scenarios!$C$7*Inputs_Scenarios!$F$49</f>
        <v/>
      </c>
      <c r="AF41" s="52">
        <f>AF40/Inputs_Scenarios!$C$7*Inputs_Scenarios!$F$49</f>
        <v/>
      </c>
      <c r="AG41" s="52">
        <f>AG40/Inputs_Scenarios!$C$7*Inputs_Scenarios!$F$49</f>
        <v/>
      </c>
      <c r="AH41" s="52">
        <f>AH40/Inputs_Scenarios!$C$7*Inputs_Scenarios!$F$49</f>
        <v/>
      </c>
      <c r="AI41" s="52">
        <f>AI40/Inputs_Scenarios!$C$7*Inputs_Scenarios!$F$49</f>
        <v/>
      </c>
      <c r="AJ41" s="52">
        <f>AJ40/Inputs_Scenarios!$C$7*Inputs_Scenarios!$F$49</f>
        <v/>
      </c>
      <c r="AK41" s="52">
        <f>AK40/Inputs_Scenarios!$C$7*Inputs_Scenarios!$F$49</f>
        <v/>
      </c>
      <c r="AL41" s="52">
        <f>AL40/Inputs_Scenarios!$C$7*Inputs_Scenarios!$F$49</f>
        <v/>
      </c>
      <c r="AM41" s="52">
        <f>AM40/Inputs_Scenarios!$C$7*Inputs_Scenarios!$F$49</f>
        <v/>
      </c>
    </row>
    <row r="42">
      <c r="A42" s="4" t="inlineStr">
        <is>
          <t>b_cost</t>
        </is>
      </c>
      <c r="B42" t="inlineStr">
        <is>
          <t>B: build + run cost</t>
        </is>
      </c>
      <c r="D42" s="52">
        <f>Inputs_Scenarios!$F$47+Inputs_Scenarios!$F$46</f>
        <v/>
      </c>
      <c r="E42" s="52">
        <f>Inputs_Scenarios!$F$47</f>
        <v/>
      </c>
      <c r="F42" s="52">
        <f>Inputs_Scenarios!$F$47</f>
        <v/>
      </c>
      <c r="G42" s="52">
        <f>Inputs_Scenarios!$F$47</f>
        <v/>
      </c>
      <c r="H42" s="52">
        <f>Inputs_Scenarios!$F$47</f>
        <v/>
      </c>
      <c r="I42" s="52">
        <f>Inputs_Scenarios!$F$47</f>
        <v/>
      </c>
      <c r="J42" s="52">
        <f>Inputs_Scenarios!$F$47</f>
        <v/>
      </c>
      <c r="K42" s="52">
        <f>Inputs_Scenarios!$F$47</f>
        <v/>
      </c>
      <c r="L42" s="52">
        <f>Inputs_Scenarios!$F$47</f>
        <v/>
      </c>
      <c r="M42" s="52">
        <f>Inputs_Scenarios!$F$47</f>
        <v/>
      </c>
      <c r="N42" s="52">
        <f>Inputs_Scenarios!$F$47</f>
        <v/>
      </c>
      <c r="O42" s="52">
        <f>Inputs_Scenarios!$F$47</f>
        <v/>
      </c>
      <c r="P42" s="52">
        <f>Inputs_Scenarios!$F$47</f>
        <v/>
      </c>
      <c r="Q42" s="52">
        <f>Inputs_Scenarios!$F$47</f>
        <v/>
      </c>
      <c r="R42" s="52">
        <f>Inputs_Scenarios!$F$47</f>
        <v/>
      </c>
      <c r="S42" s="52">
        <f>Inputs_Scenarios!$F$47</f>
        <v/>
      </c>
      <c r="T42" s="52">
        <f>Inputs_Scenarios!$F$47</f>
        <v/>
      </c>
      <c r="U42" s="52">
        <f>Inputs_Scenarios!$F$47</f>
        <v/>
      </c>
      <c r="V42" s="52">
        <f>Inputs_Scenarios!$F$47</f>
        <v/>
      </c>
      <c r="W42" s="52">
        <f>Inputs_Scenarios!$F$47</f>
        <v/>
      </c>
      <c r="X42" s="52">
        <f>Inputs_Scenarios!$F$47</f>
        <v/>
      </c>
      <c r="Y42" s="52">
        <f>Inputs_Scenarios!$F$47</f>
        <v/>
      </c>
      <c r="Z42" s="52">
        <f>Inputs_Scenarios!$F$47</f>
        <v/>
      </c>
      <c r="AA42" s="52">
        <f>Inputs_Scenarios!$F$47</f>
        <v/>
      </c>
      <c r="AB42" s="52">
        <f>Inputs_Scenarios!$F$47</f>
        <v/>
      </c>
      <c r="AC42" s="52">
        <f>Inputs_Scenarios!$F$47</f>
        <v/>
      </c>
      <c r="AD42" s="52">
        <f>Inputs_Scenarios!$F$47</f>
        <v/>
      </c>
      <c r="AE42" s="52">
        <f>Inputs_Scenarios!$F$47</f>
        <v/>
      </c>
      <c r="AF42" s="52">
        <f>Inputs_Scenarios!$F$47</f>
        <v/>
      </c>
      <c r="AG42" s="52">
        <f>Inputs_Scenarios!$F$47</f>
        <v/>
      </c>
      <c r="AH42" s="52">
        <f>Inputs_Scenarios!$F$47</f>
        <v/>
      </c>
      <c r="AI42" s="52">
        <f>Inputs_Scenarios!$F$47</f>
        <v/>
      </c>
      <c r="AJ42" s="52">
        <f>Inputs_Scenarios!$F$47</f>
        <v/>
      </c>
      <c r="AK42" s="52">
        <f>Inputs_Scenarios!$F$47</f>
        <v/>
      </c>
      <c r="AL42" s="52">
        <f>Inputs_Scenarios!$F$47</f>
        <v/>
      </c>
      <c r="AM42" s="52">
        <f>Inputs_Scenarios!$F$47</f>
        <v/>
      </c>
    </row>
    <row r="43">
      <c r="A43" s="4" t="inlineStr">
        <is>
          <t>b_net</t>
        </is>
      </c>
      <c r="B43" t="inlineStr">
        <is>
          <t>B: net cash flow</t>
        </is>
      </c>
      <c r="D43" s="52">
        <f>D41-D42</f>
        <v/>
      </c>
      <c r="E43" s="52">
        <f>E41-E42</f>
        <v/>
      </c>
      <c r="F43" s="52">
        <f>F41-F42</f>
        <v/>
      </c>
      <c r="G43" s="52">
        <f>G41-G42</f>
        <v/>
      </c>
      <c r="H43" s="52">
        <f>H41-H42</f>
        <v/>
      </c>
      <c r="I43" s="52">
        <f>I41-I42</f>
        <v/>
      </c>
      <c r="J43" s="52">
        <f>J41-J42</f>
        <v/>
      </c>
      <c r="K43" s="52">
        <f>K41-K42</f>
        <v/>
      </c>
      <c r="L43" s="52">
        <f>L41-L42</f>
        <v/>
      </c>
      <c r="M43" s="52">
        <f>M41-M42</f>
        <v/>
      </c>
      <c r="N43" s="52">
        <f>N41-N42</f>
        <v/>
      </c>
      <c r="O43" s="52">
        <f>O41-O42</f>
        <v/>
      </c>
      <c r="P43" s="52">
        <f>P41-P42</f>
        <v/>
      </c>
      <c r="Q43" s="52">
        <f>Q41-Q42</f>
        <v/>
      </c>
      <c r="R43" s="52">
        <f>R41-R42</f>
        <v/>
      </c>
      <c r="S43" s="52">
        <f>S41-S42</f>
        <v/>
      </c>
      <c r="T43" s="52">
        <f>T41-T42</f>
        <v/>
      </c>
      <c r="U43" s="52">
        <f>U41-U42</f>
        <v/>
      </c>
      <c r="V43" s="52">
        <f>V41-V42</f>
        <v/>
      </c>
      <c r="W43" s="52">
        <f>W41-W42</f>
        <v/>
      </c>
      <c r="X43" s="52">
        <f>X41-X42</f>
        <v/>
      </c>
      <c r="Y43" s="52">
        <f>Y41-Y42</f>
        <v/>
      </c>
      <c r="Z43" s="52">
        <f>Z41-Z42</f>
        <v/>
      </c>
      <c r="AA43" s="52">
        <f>AA41-AA42</f>
        <v/>
      </c>
      <c r="AB43" s="52">
        <f>AB41-AB42</f>
        <v/>
      </c>
      <c r="AC43" s="52">
        <f>AC41-AC42</f>
        <v/>
      </c>
      <c r="AD43" s="52">
        <f>AD41-AD42</f>
        <v/>
      </c>
      <c r="AE43" s="52">
        <f>AE41-AE42</f>
        <v/>
      </c>
      <c r="AF43" s="52">
        <f>AF41-AF42</f>
        <v/>
      </c>
      <c r="AG43" s="52">
        <f>AG41-AG42</f>
        <v/>
      </c>
      <c r="AH43" s="52">
        <f>AH41-AH42</f>
        <v/>
      </c>
      <c r="AI43" s="52">
        <f>AI41-AI42</f>
        <v/>
      </c>
      <c r="AJ43" s="52">
        <f>AJ41-AJ42</f>
        <v/>
      </c>
      <c r="AK43" s="52">
        <f>AK41-AK42</f>
        <v/>
      </c>
      <c r="AL43" s="52">
        <f>AL41-AL42</f>
        <v/>
      </c>
      <c r="AM43" s="52">
        <f>AM41-AM42</f>
        <v/>
      </c>
    </row>
    <row r="44">
      <c r="A44" s="4" t="inlineStr">
        <is>
          <t>b_cum</t>
        </is>
      </c>
      <c r="B44" t="inlineStr">
        <is>
          <t>B: cumulative</t>
        </is>
      </c>
      <c r="D44" s="52">
        <f>D43</f>
        <v/>
      </c>
      <c r="E44" s="52">
        <f>D44+E43</f>
        <v/>
      </c>
      <c r="F44" s="52">
        <f>E44+F43</f>
        <v/>
      </c>
      <c r="G44" s="52">
        <f>F44+G43</f>
        <v/>
      </c>
      <c r="H44" s="52">
        <f>G44+H43</f>
        <v/>
      </c>
      <c r="I44" s="52">
        <f>H44+I43</f>
        <v/>
      </c>
      <c r="J44" s="52">
        <f>I44+J43</f>
        <v/>
      </c>
      <c r="K44" s="52">
        <f>J44+K43</f>
        <v/>
      </c>
      <c r="L44" s="52">
        <f>K44+L43</f>
        <v/>
      </c>
      <c r="M44" s="52">
        <f>L44+M43</f>
        <v/>
      </c>
      <c r="N44" s="52">
        <f>M44+N43</f>
        <v/>
      </c>
      <c r="O44" s="52">
        <f>N44+O43</f>
        <v/>
      </c>
      <c r="P44" s="52">
        <f>O44+P43</f>
        <v/>
      </c>
      <c r="Q44" s="52">
        <f>P44+Q43</f>
        <v/>
      </c>
      <c r="R44" s="52">
        <f>Q44+R43</f>
        <v/>
      </c>
      <c r="S44" s="52">
        <f>R44+S43</f>
        <v/>
      </c>
      <c r="T44" s="52">
        <f>S44+T43</f>
        <v/>
      </c>
      <c r="U44" s="52">
        <f>T44+U43</f>
        <v/>
      </c>
      <c r="V44" s="52">
        <f>U44+V43</f>
        <v/>
      </c>
      <c r="W44" s="52">
        <f>V44+W43</f>
        <v/>
      </c>
      <c r="X44" s="52">
        <f>W44+X43</f>
        <v/>
      </c>
      <c r="Y44" s="52">
        <f>X44+Y43</f>
        <v/>
      </c>
      <c r="Z44" s="52">
        <f>Y44+Z43</f>
        <v/>
      </c>
      <c r="AA44" s="52">
        <f>Z44+AA43</f>
        <v/>
      </c>
      <c r="AB44" s="52">
        <f>AA44+AB43</f>
        <v/>
      </c>
      <c r="AC44" s="52">
        <f>AB44+AC43</f>
        <v/>
      </c>
      <c r="AD44" s="52">
        <f>AC44+AD43</f>
        <v/>
      </c>
      <c r="AE44" s="52">
        <f>AD44+AE43</f>
        <v/>
      </c>
      <c r="AF44" s="52">
        <f>AE44+AF43</f>
        <v/>
      </c>
      <c r="AG44" s="52">
        <f>AF44+AG43</f>
        <v/>
      </c>
      <c r="AH44" s="52">
        <f>AG44+AH43</f>
        <v/>
      </c>
      <c r="AI44" s="52">
        <f>AH44+AI43</f>
        <v/>
      </c>
      <c r="AJ44" s="52">
        <f>AI44+AJ43</f>
        <v/>
      </c>
      <c r="AK44" s="52">
        <f>AJ44+AK43</f>
        <v/>
      </c>
      <c r="AL44" s="52">
        <f>AK44+AL43</f>
        <v/>
      </c>
      <c r="AM44" s="52">
        <f>AL44+AM43</f>
        <v/>
      </c>
    </row>
    <row r="46">
      <c r="B46" s="2" t="inlineStr">
        <is>
          <t>Summary</t>
        </is>
      </c>
    </row>
    <row r="47">
      <c r="A47" s="4" t="inlineStr">
        <is>
          <t>a_cumulative_36m</t>
        </is>
      </c>
      <c r="B47" t="inlineStr">
        <is>
          <t>A: Cumulative net cash, month 36</t>
        </is>
      </c>
      <c r="D47" s="28">
        <f>AM36</f>
        <v/>
      </c>
    </row>
    <row r="48">
      <c r="A48" s="4" t="inlineStr">
        <is>
          <t>a_trough</t>
        </is>
      </c>
      <c r="B48" t="inlineStr">
        <is>
          <t>A: Peak cumulative investment (trough)</t>
        </is>
      </c>
      <c r="D48" s="28">
        <f>MIN(D36:AM36)</f>
        <v/>
      </c>
    </row>
    <row r="49">
      <c r="A49" s="4" t="inlineStr">
        <is>
          <t>a_payback_month</t>
        </is>
      </c>
      <c r="B49" t="inlineStr">
        <is>
          <t>A: Payback month</t>
        </is>
      </c>
      <c r="D49" s="19">
        <f>IF(COUNTIF(D36:AM36,"&lt;0")&lt;COLUMNS(D36:AM36),COUNTIF(D36:AM36,"&lt;0")+1,"beyond horizon")</f>
        <v/>
      </c>
    </row>
    <row r="50">
      <c r="A50" s="4" t="inlineStr">
        <is>
          <t>a_npv</t>
        </is>
      </c>
      <c r="B50" t="inlineStr">
        <is>
          <t>A: NPV at the discount rate</t>
        </is>
      </c>
      <c r="D50" s="28">
        <f>NPV((1+Inputs_Scenarios!$F$50)^(1/Inputs_Scenarios!$C$7)-1,D35:AM35)</f>
        <v/>
      </c>
    </row>
    <row r="51">
      <c r="A51" s="4" t="inlineStr">
        <is>
          <t>a_irr_annual</t>
        </is>
      </c>
      <c r="B51" t="inlineStr">
        <is>
          <t>A: IRR (annualised)</t>
        </is>
      </c>
      <c r="D51" s="8">
        <f>(1+IRR(D35:AM35))^Inputs_Scenarios!$C$7-1</f>
        <v/>
      </c>
    </row>
    <row r="52">
      <c r="A52" s="4" t="inlineStr">
        <is>
          <t>a_arr_month_36</t>
        </is>
      </c>
      <c r="B52" t="inlineStr">
        <is>
          <t>A: ARR at month 36</t>
        </is>
      </c>
      <c r="D52" s="28">
        <f>AM32</f>
        <v/>
      </c>
    </row>
    <row r="53">
      <c r="A53" s="4" t="inlineStr">
        <is>
          <t>b_cumulative_36m</t>
        </is>
      </c>
      <c r="B53" t="inlineStr">
        <is>
          <t>B: Cumulative net cash, month 36</t>
        </is>
      </c>
      <c r="D53" s="28">
        <f>AM44</f>
        <v/>
      </c>
    </row>
    <row r="54">
      <c r="A54" s="4" t="inlineStr">
        <is>
          <t>b_trough</t>
        </is>
      </c>
      <c r="B54" t="inlineStr">
        <is>
          <t>B: Peak cumulative investment (trough)</t>
        </is>
      </c>
      <c r="D54" s="28">
        <f>MIN(D44:AM44)</f>
        <v/>
      </c>
    </row>
    <row r="55">
      <c r="A55" s="4" t="inlineStr">
        <is>
          <t>b_payback_month</t>
        </is>
      </c>
      <c r="B55" t="inlineStr">
        <is>
          <t>B: Payback month</t>
        </is>
      </c>
      <c r="D55" s="19">
        <f>IF(COUNTIF(D44:AM44,"&lt;0")&lt;COLUMNS(D44:AM44),COUNTIF(D44:AM44,"&lt;0")+1,"beyond horizon")</f>
        <v/>
      </c>
    </row>
    <row r="56">
      <c r="A56" s="4" t="inlineStr">
        <is>
          <t>b_npv</t>
        </is>
      </c>
      <c r="B56" t="inlineStr">
        <is>
          <t>B: NPV at the discount rate</t>
        </is>
      </c>
      <c r="D56" s="28">
        <f>NPV((1+Inputs_Scenarios!$F$50)^(1/Inputs_Scenarios!$C$7)-1,D43:AM43)</f>
        <v/>
      </c>
    </row>
    <row r="57">
      <c r="A57" s="4" t="inlineStr">
        <is>
          <t>b_irr_annual</t>
        </is>
      </c>
      <c r="B57" t="inlineStr">
        <is>
          <t>B: IRR (annualised)</t>
        </is>
      </c>
      <c r="D57" s="8">
        <f>(1+IRR(D43:AM43))^Inputs_Scenarios!$C$7-1</f>
        <v/>
      </c>
    </row>
    <row r="58">
      <c r="A58" s="4" t="inlineStr">
        <is>
          <t>b_arr_month_36</t>
        </is>
      </c>
      <c r="B58" t="inlineStr">
        <is>
          <t>B: ARR at month 36</t>
        </is>
      </c>
      <c r="D58" s="28">
        <f>AM40</f>
        <v/>
      </c>
    </row>
    <row r="60">
      <c r="B60" s="2" t="inlineStr">
        <is>
          <t>Benchmark: case A's ramped sales efficiency vs MongoDB's own</t>
        </is>
      </c>
    </row>
    <row r="61">
      <c r="A61" s="4" t="inlineStr">
        <is>
          <t>a_magic</t>
        </is>
      </c>
      <c r="B61" t="inlineStr">
        <is>
          <t>A: new ARR per $ of fully loaded AE cost, ramped (a magic-number analogue)</t>
        </is>
      </c>
      <c r="D61" s="53">
        <f>Inputs_Scenarios!$F$38*Inputs_Scenarios!$F$39/(Inputs_Scenarios!$F$36*(1+Inputs_Scenarios!$F$37)+Inputs_Scenarios!$F$41*Inputs_Scenarios!$F$38*Inputs_Scenarios!$F$39)</f>
        <v/>
      </c>
    </row>
    <row r="62">
      <c r="A62" s="4" t="inlineStr">
        <is>
          <t>co_magic</t>
        </is>
      </c>
      <c r="B62" t="inlineStr">
        <is>
          <t>MongoDB magic number at T0 (trailing 4Q, from the scorecard above)</t>
        </is>
      </c>
      <c r="D62" s="53">
        <f>$R$18</f>
        <v/>
      </c>
    </row>
    <row r="63">
      <c r="A63" s="4" t="inlineStr">
        <is>
          <t>a_attain_at_co_magic</t>
        </is>
      </c>
      <c r="B63" t="inlineStr">
        <is>
          <t>A: quota attainment at which case A is only as efficient as MongoDB today</t>
        </is>
      </c>
      <c r="D63" s="54">
        <f>D62*Inputs_Scenarios!$F$36*(1+Inputs_Scenarios!$F$37)/(Inputs_Scenarios!$F$38*(1-D62*Inputs_Scenarios!$F$41))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Checks (each row: largest absolute difference across its quarters; PASS within tolerance)</t>
        </is>
      </c>
    </row>
    <row r="3">
      <c r="A3" s="6" t="inlineStr">
        <is>
          <t>Check</t>
        </is>
      </c>
      <c r="B3" s="6" t="inlineStr">
        <is>
          <t>Max |diff|</t>
        </is>
      </c>
      <c r="C3" s="6" t="inlineStr">
        <is>
          <t>Result</t>
        </is>
      </c>
    </row>
    <row r="4">
      <c r="A4" t="inlineStr">
        <is>
          <t>GAAP operating income = as reported (history)</t>
        </is>
      </c>
      <c r="B4" s="55">
        <f>SUMPRODUCT(ABS(E4:S4))</f>
        <v/>
      </c>
      <c r="C4" s="2">
        <f>IF(B4&lt;=Inputs_Scenarios!$C$8,"PASS","FAIL")</f>
        <v/>
      </c>
      <c r="E4" s="52">
        <f>'Operating_Model'!D28-'Operating_Model'!D29</f>
        <v/>
      </c>
      <c r="F4" s="52">
        <f>'Operating_Model'!E28-'Operating_Model'!E29</f>
        <v/>
      </c>
      <c r="G4" s="52">
        <f>'Operating_Model'!F28-'Operating_Model'!F29</f>
        <v/>
      </c>
      <c r="H4" s="52">
        <f>'Operating_Model'!G28-'Operating_Model'!G29</f>
        <v/>
      </c>
      <c r="I4" s="52">
        <f>'Operating_Model'!H28-'Operating_Model'!H29</f>
        <v/>
      </c>
      <c r="J4" s="52">
        <f>'Operating_Model'!I28-'Operating_Model'!I29</f>
        <v/>
      </c>
      <c r="K4" s="52">
        <f>'Operating_Model'!J28-'Operating_Model'!J29</f>
        <v/>
      </c>
      <c r="L4" s="52">
        <f>'Operating_Model'!K28-'Operating_Model'!K29</f>
        <v/>
      </c>
      <c r="M4" s="52">
        <f>'Operating_Model'!L28-'Operating_Model'!L29</f>
        <v/>
      </c>
      <c r="N4" s="52">
        <f>'Operating_Model'!M28-'Operating_Model'!M29</f>
        <v/>
      </c>
      <c r="O4" s="52">
        <f>'Operating_Model'!N28-'Operating_Model'!N29</f>
        <v/>
      </c>
      <c r="P4" s="52">
        <f>'Operating_Model'!O28-'Operating_Model'!O29</f>
        <v/>
      </c>
      <c r="Q4" s="52">
        <f>'Operating_Model'!P28-'Operating_Model'!P29</f>
        <v/>
      </c>
      <c r="R4" s="52">
        <f>'Operating_Model'!Q28-'Operating_Model'!Q29</f>
        <v/>
      </c>
      <c r="S4" s="52">
        <f>'Operating_Model'!R28-'Operating_Model'!R29</f>
        <v/>
      </c>
    </row>
    <row r="5">
      <c r="A5" t="inlineStr">
        <is>
          <t>ARR proxy = cohort ledger ARR (history)</t>
        </is>
      </c>
      <c r="B5" s="55">
        <f>SUMPRODUCT(ABS(H5:S5))</f>
        <v/>
      </c>
      <c r="C5" s="2">
        <f>IF(B5&lt;=Inputs_Scenarios!$C$8,"PASS","FAIL")</f>
        <v/>
      </c>
      <c r="H5" s="52">
        <f>'Cohort_ARR_Build'!G15-'Cohort_ARR_Build'!G19</f>
        <v/>
      </c>
      <c r="I5" s="52">
        <f>'Cohort_ARR_Build'!H15-'Cohort_ARR_Build'!H19</f>
        <v/>
      </c>
      <c r="J5" s="52">
        <f>'Cohort_ARR_Build'!I15-'Cohort_ARR_Build'!I19</f>
        <v/>
      </c>
      <c r="K5" s="52">
        <f>'Cohort_ARR_Build'!J15-'Cohort_ARR_Build'!J19</f>
        <v/>
      </c>
      <c r="L5" s="52">
        <f>'Cohort_ARR_Build'!K15-'Cohort_ARR_Build'!K19</f>
        <v/>
      </c>
      <c r="M5" s="52">
        <f>'Cohort_ARR_Build'!L15-'Cohort_ARR_Build'!L19</f>
        <v/>
      </c>
      <c r="N5" s="52">
        <f>'Cohort_ARR_Build'!M15-'Cohort_ARR_Build'!M19</f>
        <v/>
      </c>
      <c r="O5" s="52">
        <f>'Cohort_ARR_Build'!N15-'Cohort_ARR_Build'!N19</f>
        <v/>
      </c>
      <c r="P5" s="52">
        <f>'Cohort_ARR_Build'!O15-'Cohort_ARR_Build'!O19</f>
        <v/>
      </c>
      <c r="Q5" s="52">
        <f>'Cohort_ARR_Build'!P15-'Cohort_ARR_Build'!P19</f>
        <v/>
      </c>
      <c r="R5" s="52">
        <f>'Cohort_ARR_Build'!Q15-'Cohort_ARR_Build'!Q19</f>
        <v/>
      </c>
      <c r="S5" s="52">
        <f>'Cohort_ARR_Build'!R15-'Cohort_ARR_Build'!R19</f>
        <v/>
      </c>
    </row>
    <row r="6">
      <c r="A6" t="inlineStr">
        <is>
          <t>Revenue = Atlas + EA + Services</t>
        </is>
      </c>
      <c r="B6" s="55">
        <f>SUMPRODUCT(ABS(E6:W6))</f>
        <v/>
      </c>
      <c r="C6" s="2">
        <f>IF(B6&lt;=Inputs_Scenarios!$C$8,"PASS","FAIL")</f>
        <v/>
      </c>
      <c r="E6" s="52">
        <f>'Operating_Model'!D12-'Operating_Model'!D8-'Operating_Model'!D9-'Operating_Model'!D11</f>
        <v/>
      </c>
      <c r="F6" s="52">
        <f>'Operating_Model'!E12-'Operating_Model'!E8-'Operating_Model'!E9-'Operating_Model'!E11</f>
        <v/>
      </c>
      <c r="G6" s="52">
        <f>'Operating_Model'!F12-'Operating_Model'!F8-'Operating_Model'!F9-'Operating_Model'!F11</f>
        <v/>
      </c>
      <c r="H6" s="52">
        <f>'Operating_Model'!G12-'Operating_Model'!G8-'Operating_Model'!G9-'Operating_Model'!G11</f>
        <v/>
      </c>
      <c r="I6" s="52">
        <f>'Operating_Model'!H12-'Operating_Model'!H8-'Operating_Model'!H9-'Operating_Model'!H11</f>
        <v/>
      </c>
      <c r="J6" s="52">
        <f>'Operating_Model'!I12-'Operating_Model'!I8-'Operating_Model'!I9-'Operating_Model'!I11</f>
        <v/>
      </c>
      <c r="K6" s="52">
        <f>'Operating_Model'!J12-'Operating_Model'!J8-'Operating_Model'!J9-'Operating_Model'!J11</f>
        <v/>
      </c>
      <c r="L6" s="52">
        <f>'Operating_Model'!K12-'Operating_Model'!K8-'Operating_Model'!K9-'Operating_Model'!K11</f>
        <v/>
      </c>
      <c r="M6" s="52">
        <f>'Operating_Model'!L12-'Operating_Model'!L8-'Operating_Model'!L9-'Operating_Model'!L11</f>
        <v/>
      </c>
      <c r="N6" s="52">
        <f>'Operating_Model'!M12-'Operating_Model'!M8-'Operating_Model'!M9-'Operating_Model'!M11</f>
        <v/>
      </c>
      <c r="O6" s="52">
        <f>'Operating_Model'!N12-'Operating_Model'!N8-'Operating_Model'!N9-'Operating_Model'!N11</f>
        <v/>
      </c>
      <c r="P6" s="52">
        <f>'Operating_Model'!O12-'Operating_Model'!O8-'Operating_Model'!O9-'Operating_Model'!O11</f>
        <v/>
      </c>
      <c r="Q6" s="52">
        <f>'Operating_Model'!P12-'Operating_Model'!P8-'Operating_Model'!P9-'Operating_Model'!P11</f>
        <v/>
      </c>
      <c r="R6" s="52">
        <f>'Operating_Model'!Q12-'Operating_Model'!Q8-'Operating_Model'!Q9-'Operating_Model'!Q11</f>
        <v/>
      </c>
      <c r="S6" s="52">
        <f>'Operating_Model'!R12-'Operating_Model'!R8-'Operating_Model'!R9-'Operating_Model'!R11</f>
        <v/>
      </c>
      <c r="T6" s="52">
        <f>'Operating_Model'!S12-'Operating_Model'!S8-'Operating_Model'!S9-'Operating_Model'!S11</f>
        <v/>
      </c>
      <c r="U6" s="52">
        <f>'Operating_Model'!T12-'Operating_Model'!T8-'Operating_Model'!T9-'Operating_Model'!T11</f>
        <v/>
      </c>
      <c r="V6" s="52">
        <f>'Operating_Model'!U12-'Operating_Model'!U8-'Operating_Model'!U9-'Operating_Model'!U11</f>
        <v/>
      </c>
      <c r="W6" s="52">
        <f>'Operating_Model'!V12-'Operating_Model'!V8-'Operating_Model'!V9-'Operating_Model'!V11</f>
        <v/>
      </c>
    </row>
    <row r="7">
      <c r="A7" t="inlineStr">
        <is>
          <t>Non-GAAP op. income = GAAP + SBC + amortization</t>
        </is>
      </c>
      <c r="B7" s="55">
        <f>SUMPRODUCT(ABS(E7:W7))</f>
        <v/>
      </c>
      <c r="C7" s="2">
        <f>IF(B7&lt;=Inputs_Scenarios!$C$8,"PASS","FAIL")</f>
        <v/>
      </c>
      <c r="E7" s="52">
        <f>'Operating_Model'!D33-'Operating_Model'!D28-'Operating_Model'!D31-'Operating_Model'!D32</f>
        <v/>
      </c>
      <c r="F7" s="52">
        <f>'Operating_Model'!E33-'Operating_Model'!E28-'Operating_Model'!E31-'Operating_Model'!E32</f>
        <v/>
      </c>
      <c r="G7" s="52">
        <f>'Operating_Model'!F33-'Operating_Model'!F28-'Operating_Model'!F31-'Operating_Model'!F32</f>
        <v/>
      </c>
      <c r="H7" s="52">
        <f>'Operating_Model'!G33-'Operating_Model'!G28-'Operating_Model'!G31-'Operating_Model'!G32</f>
        <v/>
      </c>
      <c r="I7" s="52">
        <f>'Operating_Model'!H33-'Operating_Model'!H28-'Operating_Model'!H31-'Operating_Model'!H32</f>
        <v/>
      </c>
      <c r="J7" s="52">
        <f>'Operating_Model'!I33-'Operating_Model'!I28-'Operating_Model'!I31-'Operating_Model'!I32</f>
        <v/>
      </c>
      <c r="K7" s="52">
        <f>'Operating_Model'!J33-'Operating_Model'!J28-'Operating_Model'!J31-'Operating_Model'!J32</f>
        <v/>
      </c>
      <c r="L7" s="52">
        <f>'Operating_Model'!K33-'Operating_Model'!K28-'Operating_Model'!K31-'Operating_Model'!K32</f>
        <v/>
      </c>
      <c r="M7" s="52">
        <f>'Operating_Model'!L33-'Operating_Model'!L28-'Operating_Model'!L31-'Operating_Model'!L32</f>
        <v/>
      </c>
      <c r="N7" s="52">
        <f>'Operating_Model'!M33-'Operating_Model'!M28-'Operating_Model'!M31-'Operating_Model'!M32</f>
        <v/>
      </c>
      <c r="O7" s="52">
        <f>'Operating_Model'!N33-'Operating_Model'!N28-'Operating_Model'!N31-'Operating_Model'!N32</f>
        <v/>
      </c>
      <c r="P7" s="52">
        <f>'Operating_Model'!O33-'Operating_Model'!O28-'Operating_Model'!O31-'Operating_Model'!O32</f>
        <v/>
      </c>
      <c r="Q7" s="52">
        <f>'Operating_Model'!P33-'Operating_Model'!P28-'Operating_Model'!P31-'Operating_Model'!P32</f>
        <v/>
      </c>
      <c r="R7" s="52">
        <f>'Operating_Model'!Q33-'Operating_Model'!Q28-'Operating_Model'!Q31-'Operating_Model'!Q32</f>
        <v/>
      </c>
      <c r="S7" s="52">
        <f>'Operating_Model'!R33-'Operating_Model'!R28-'Operating_Model'!R31-'Operating_Model'!R32</f>
        <v/>
      </c>
      <c r="T7" s="52">
        <f>'Operating_Model'!S33-'Operating_Model'!S28-'Operating_Model'!S31-'Operating_Model'!S32</f>
        <v/>
      </c>
      <c r="U7" s="52">
        <f>'Operating_Model'!T33-'Operating_Model'!T28-'Operating_Model'!T31-'Operating_Model'!T32</f>
        <v/>
      </c>
      <c r="V7" s="52">
        <f>'Operating_Model'!U33-'Operating_Model'!U28-'Operating_Model'!U31-'Operating_Model'!U32</f>
        <v/>
      </c>
      <c r="W7" s="52">
        <f>'Operating_Model'!V33-'Operating_Model'!V28-'Operating_Model'!V31-'Operating_Model'!V32</f>
        <v/>
      </c>
    </row>
    <row r="8">
      <c r="A8" t="inlineStr">
        <is>
          <t>Opex = non-GAAP spend + SBC</t>
        </is>
      </c>
      <c r="B8" s="55">
        <f>SUMPRODUCT(ABS(H8:W8))</f>
        <v/>
      </c>
      <c r="C8" s="2">
        <f>IF(B8&lt;=Inputs_Scenarios!$C$8,"PASS","FAIL")</f>
        <v/>
      </c>
      <c r="H8" s="52">
        <f>'Operating_Model'!G27-'Headcount_Opex_Build'!G16-'Operating_Model'!G21-'Operating_Model'!G22-'Operating_Model'!G23</f>
        <v/>
      </c>
      <c r="I8" s="52">
        <f>'Operating_Model'!H27-'Headcount_Opex_Build'!H16-'Operating_Model'!H21-'Operating_Model'!H22-'Operating_Model'!H23</f>
        <v/>
      </c>
      <c r="J8" s="52">
        <f>'Operating_Model'!I27-'Headcount_Opex_Build'!I16-'Operating_Model'!I21-'Operating_Model'!I22-'Operating_Model'!I23</f>
        <v/>
      </c>
      <c r="K8" s="52">
        <f>'Operating_Model'!J27-'Headcount_Opex_Build'!J16-'Operating_Model'!J21-'Operating_Model'!J22-'Operating_Model'!J23</f>
        <v/>
      </c>
      <c r="L8" s="52">
        <f>'Operating_Model'!K27-'Headcount_Opex_Build'!K16-'Operating_Model'!K21-'Operating_Model'!K22-'Operating_Model'!K23</f>
        <v/>
      </c>
      <c r="M8" s="52">
        <f>'Operating_Model'!L27-'Headcount_Opex_Build'!L16-'Operating_Model'!L21-'Operating_Model'!L22-'Operating_Model'!L23</f>
        <v/>
      </c>
      <c r="N8" s="52">
        <f>'Operating_Model'!M27-'Headcount_Opex_Build'!M16-'Operating_Model'!M21-'Operating_Model'!M22-'Operating_Model'!M23</f>
        <v/>
      </c>
      <c r="O8" s="52">
        <f>'Operating_Model'!N27-'Headcount_Opex_Build'!N16-'Operating_Model'!N21-'Operating_Model'!N22-'Operating_Model'!N23</f>
        <v/>
      </c>
      <c r="P8" s="52">
        <f>'Operating_Model'!O27-'Headcount_Opex_Build'!O16-'Operating_Model'!O21-'Operating_Model'!O22-'Operating_Model'!O23</f>
        <v/>
      </c>
      <c r="Q8" s="52">
        <f>'Operating_Model'!P27-'Headcount_Opex_Build'!P16-'Operating_Model'!P21-'Operating_Model'!P22-'Operating_Model'!P23</f>
        <v/>
      </c>
      <c r="R8" s="52">
        <f>'Operating_Model'!Q27-'Headcount_Opex_Build'!Q16-'Operating_Model'!Q21-'Operating_Model'!Q22-'Operating_Model'!Q23</f>
        <v/>
      </c>
      <c r="S8" s="52">
        <f>'Operating_Model'!R27-'Headcount_Opex_Build'!R16-'Operating_Model'!R21-'Operating_Model'!R22-'Operating_Model'!R23</f>
        <v/>
      </c>
      <c r="T8" s="52">
        <f>'Operating_Model'!S27-'Headcount_Opex_Build'!S16-'Operating_Model'!S21-'Operating_Model'!S22-'Operating_Model'!S23</f>
        <v/>
      </c>
      <c r="U8" s="52">
        <f>'Operating_Model'!T27-'Headcount_Opex_Build'!T16-'Operating_Model'!T21-'Operating_Model'!T22-'Operating_Model'!T23</f>
        <v/>
      </c>
      <c r="V8" s="52">
        <f>'Operating_Model'!U27-'Headcount_Opex_Build'!U16-'Operating_Model'!U21-'Operating_Model'!U22-'Operating_Model'!U23</f>
        <v/>
      </c>
      <c r="W8" s="52">
        <f>'Operating_Model'!V27-'Headcount_Opex_Build'!V16-'Operating_Model'!V21-'Operating_Model'!V22-'Operating_Model'!V23</f>
        <v/>
      </c>
    </row>
    <row r="9">
      <c r="A9" t="inlineStr">
        <is>
          <t>Forecast ARR = existing + new</t>
        </is>
      </c>
      <c r="B9" s="55">
        <f>SUMPRODUCT(ABS(T9:W9))</f>
        <v/>
      </c>
      <c r="C9" s="2">
        <f>IF(B9&lt;=Inputs_Scenarios!$C$8,"PASS","FAIL")</f>
        <v/>
      </c>
      <c r="T9" s="52">
        <f>'Cohort_ARR_Build'!S15-'Cohort_ARR_Build'!S13-'Cohort_ARR_Build'!S14</f>
        <v/>
      </c>
      <c r="U9" s="52">
        <f>'Cohort_ARR_Build'!T15-'Cohort_ARR_Build'!T13-'Cohort_ARR_Build'!T14</f>
        <v/>
      </c>
      <c r="V9" s="52">
        <f>'Cohort_ARR_Build'!U15-'Cohort_ARR_Build'!U13-'Cohort_ARR_Build'!U14</f>
        <v/>
      </c>
      <c r="W9" s="52">
        <f>'Cohort_ARR_Build'!V15-'Cohort_ARR_Build'!V13-'Cohort_ARR_Build'!V14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Sources: every historical input, with the SEC filing it came from (as known at the cutoff)</t>
        </is>
      </c>
    </row>
    <row r="3">
      <c r="A3" s="6" t="inlineStr">
        <is>
          <t>line</t>
        </is>
      </c>
      <c r="B3" s="6" t="inlineStr">
        <is>
          <t>fiscal_label</t>
        </is>
      </c>
      <c r="C3" s="6" t="inlineStr">
        <is>
          <t>period_end</t>
        </is>
      </c>
      <c r="D3" s="6" t="inlineStr">
        <is>
          <t>value</t>
        </is>
      </c>
      <c r="E3" s="6" t="inlineStr">
        <is>
          <t>derivation</t>
        </is>
      </c>
      <c r="F3" s="6" t="inlineStr">
        <is>
          <t>source_accn</t>
        </is>
      </c>
      <c r="G3" s="6" t="inlineStr">
        <is>
          <t>filed</t>
        </is>
      </c>
    </row>
    <row r="4">
      <c r="A4" t="inlineStr">
        <is>
          <t>amort_intangibles</t>
        </is>
      </c>
      <c r="B4" t="inlineStr">
        <is>
          <t>Q4 FY22</t>
        </is>
      </c>
      <c r="C4" t="inlineStr">
        <is>
          <t>2022-01-31</t>
        </is>
      </c>
      <c r="D4" t="n">
        <v>2300000</v>
      </c>
      <c r="E4" t="inlineStr">
        <is>
          <t>fy_minus_9m</t>
        </is>
      </c>
      <c r="F4" t="inlineStr">
        <is>
          <t>0001441816-24-000049 - 0001441816-22-000193</t>
        </is>
      </c>
      <c r="G4" t="inlineStr">
        <is>
          <t>2024-03-15</t>
        </is>
      </c>
    </row>
    <row r="5">
      <c r="A5" t="inlineStr">
        <is>
          <t>amort_intangibles</t>
        </is>
      </c>
      <c r="B5" t="inlineStr">
        <is>
          <t>Q1 FY23</t>
        </is>
      </c>
      <c r="C5" t="inlineStr">
        <is>
          <t>2022-04-30</t>
        </is>
      </c>
      <c r="D5" t="n">
        <v>2300000</v>
      </c>
      <c r="E5" t="inlineStr">
        <is>
          <t>reported_3m</t>
        </is>
      </c>
      <c r="F5" t="inlineStr">
        <is>
          <t>0001441816-23-000087</t>
        </is>
      </c>
      <c r="G5" t="inlineStr">
        <is>
          <t>2023-06-02</t>
        </is>
      </c>
    </row>
    <row r="6">
      <c r="A6" t="inlineStr">
        <is>
          <t>amort_intangibles</t>
        </is>
      </c>
      <c r="B6" t="inlineStr">
        <is>
          <t>Q2 FY23</t>
        </is>
      </c>
      <c r="C6" t="inlineStr">
        <is>
          <t>2022-07-31</t>
        </is>
      </c>
      <c r="D6" t="n">
        <v>2300000</v>
      </c>
      <c r="E6" t="inlineStr">
        <is>
          <t>reported_3m</t>
        </is>
      </c>
      <c r="F6" t="inlineStr">
        <is>
          <t>0001441816-23-000168</t>
        </is>
      </c>
      <c r="G6" t="inlineStr">
        <is>
          <t>2023-09-01</t>
        </is>
      </c>
    </row>
    <row r="7">
      <c r="A7" t="inlineStr">
        <is>
          <t>amort_intangibles</t>
        </is>
      </c>
      <c r="B7" t="inlineStr">
        <is>
          <t>Q3 FY23</t>
        </is>
      </c>
      <c r="C7" t="inlineStr">
        <is>
          <t>2022-10-31</t>
        </is>
      </c>
      <c r="D7" t="n">
        <v>2300000</v>
      </c>
      <c r="E7" t="inlineStr">
        <is>
          <t>reported_3m</t>
        </is>
      </c>
      <c r="F7" t="inlineStr">
        <is>
          <t>0001441816-23-000248</t>
        </is>
      </c>
      <c r="G7" t="inlineStr">
        <is>
          <t>2023-12-07</t>
        </is>
      </c>
    </row>
    <row r="8">
      <c r="A8" t="inlineStr">
        <is>
          <t>amort_intangibles</t>
        </is>
      </c>
      <c r="B8" t="inlineStr">
        <is>
          <t>Q4 FY23</t>
        </is>
      </c>
      <c r="C8" t="inlineStr">
        <is>
          <t>2023-01-31</t>
        </is>
      </c>
      <c r="D8" t="n">
        <v>2300000</v>
      </c>
      <c r="E8" t="inlineStr">
        <is>
          <t>fy_minus_9m</t>
        </is>
      </c>
      <c r="F8" t="inlineStr">
        <is>
          <t>0001441816-25-000057 - 0001441816-23-000248</t>
        </is>
      </c>
      <c r="G8" t="inlineStr">
        <is>
          <t>2025-03-21</t>
        </is>
      </c>
    </row>
    <row r="9">
      <c r="A9" t="inlineStr">
        <is>
          <t>amort_intangibles</t>
        </is>
      </c>
      <c r="B9" t="inlineStr">
        <is>
          <t>Q1 FY24</t>
        </is>
      </c>
      <c r="C9" t="inlineStr">
        <is>
          <t>2023-04-30</t>
        </is>
      </c>
      <c r="D9" t="n">
        <v>2300000</v>
      </c>
      <c r="E9" t="inlineStr">
        <is>
          <t>reported_3m</t>
        </is>
      </c>
      <c r="F9" t="inlineStr">
        <is>
          <t>0001441816-24-000111</t>
        </is>
      </c>
      <c r="G9" t="inlineStr">
        <is>
          <t>2024-05-31</t>
        </is>
      </c>
    </row>
    <row r="10">
      <c r="A10" t="inlineStr">
        <is>
          <t>amort_intangibles</t>
        </is>
      </c>
      <c r="B10" t="inlineStr">
        <is>
          <t>Q2 FY24</t>
        </is>
      </c>
      <c r="C10" t="inlineStr">
        <is>
          <t>2023-07-31</t>
        </is>
      </c>
      <c r="D10" t="n">
        <v>2300000</v>
      </c>
      <c r="E10" t="inlineStr">
        <is>
          <t>reported_3m</t>
        </is>
      </c>
      <c r="F10" t="inlineStr">
        <is>
          <t>0001441816-24-000188</t>
        </is>
      </c>
      <c r="G10" t="inlineStr">
        <is>
          <t>2024-08-30</t>
        </is>
      </c>
    </row>
    <row r="11">
      <c r="A11" t="inlineStr">
        <is>
          <t>amort_intangibles</t>
        </is>
      </c>
      <c r="B11" t="inlineStr">
        <is>
          <t>Q3 FY24</t>
        </is>
      </c>
      <c r="C11" t="inlineStr">
        <is>
          <t>2023-10-31</t>
        </is>
      </c>
      <c r="D11" t="n">
        <v>2800000</v>
      </c>
      <c r="E11" t="inlineStr">
        <is>
          <t>reported_3m</t>
        </is>
      </c>
      <c r="F11" t="inlineStr">
        <is>
          <t>0001441816-24-000260</t>
        </is>
      </c>
      <c r="G11" t="inlineStr">
        <is>
          <t>2024-12-10</t>
        </is>
      </c>
    </row>
    <row r="12">
      <c r="A12" t="inlineStr">
        <is>
          <t>amort_intangibles</t>
        </is>
      </c>
      <c r="B12" t="inlineStr">
        <is>
          <t>Q4 FY24</t>
        </is>
      </c>
      <c r="C12" t="inlineStr">
        <is>
          <t>2024-01-31</t>
        </is>
      </c>
      <c r="D12" t="n">
        <v>3200000</v>
      </c>
      <c r="E12" t="inlineStr">
        <is>
          <t>fy_minus_9m</t>
        </is>
      </c>
      <c r="F12" t="inlineStr">
        <is>
          <t>0001441816-25-000057 - 0001441816-24-000260</t>
        </is>
      </c>
      <c r="G12" t="inlineStr">
        <is>
          <t>2025-03-21</t>
        </is>
      </c>
    </row>
    <row r="13">
      <c r="A13" t="inlineStr">
        <is>
          <t>amort_intangibles</t>
        </is>
      </c>
      <c r="B13" t="inlineStr">
        <is>
          <t>Q1 FY25</t>
        </is>
      </c>
      <c r="C13" t="inlineStr">
        <is>
          <t>2024-04-30</t>
        </is>
      </c>
      <c r="D13" t="n">
        <v>2700000</v>
      </c>
      <c r="E13" t="inlineStr">
        <is>
          <t>reported_3m</t>
        </is>
      </c>
      <c r="F13" t="inlineStr">
        <is>
          <t>0001441816-25-000118</t>
        </is>
      </c>
      <c r="G13" t="inlineStr">
        <is>
          <t>2025-06-04</t>
        </is>
      </c>
    </row>
    <row r="14">
      <c r="A14" t="inlineStr">
        <is>
          <t>amort_intangibles</t>
        </is>
      </c>
      <c r="B14" t="inlineStr">
        <is>
          <t>Q2 FY25</t>
        </is>
      </c>
      <c r="C14" t="inlineStr">
        <is>
          <t>2024-07-31</t>
        </is>
      </c>
      <c r="D14" t="n">
        <v>100000</v>
      </c>
      <c r="E14" t="inlineStr">
        <is>
          <t>reported_3m</t>
        </is>
      </c>
      <c r="F14" t="inlineStr">
        <is>
          <t>0001441816-24-000188</t>
        </is>
      </c>
      <c r="G14" t="inlineStr">
        <is>
          <t>2024-08-30</t>
        </is>
      </c>
    </row>
    <row r="15">
      <c r="A15" t="inlineStr">
        <is>
          <t>amort_intangibles</t>
        </is>
      </c>
      <c r="B15" t="inlineStr">
        <is>
          <t>Q3 FY25</t>
        </is>
      </c>
      <c r="C15" t="inlineStr">
        <is>
          <t>2024-10-31</t>
        </is>
      </c>
      <c r="D15" t="n">
        <v>200000</v>
      </c>
      <c r="E15" t="inlineStr">
        <is>
          <t>reported_3m</t>
        </is>
      </c>
      <c r="F15" t="inlineStr">
        <is>
          <t>0001441816-24-000260</t>
        </is>
      </c>
      <c r="G15" t="inlineStr">
        <is>
          <t>2024-12-10</t>
        </is>
      </c>
    </row>
    <row r="16">
      <c r="A16" t="inlineStr">
        <is>
          <t>amort_intangibles</t>
        </is>
      </c>
      <c r="B16" t="inlineStr">
        <is>
          <t>Q4 FY25</t>
        </is>
      </c>
      <c r="C16" t="inlineStr">
        <is>
          <t>2025-01-31</t>
        </is>
      </c>
      <c r="D16" t="n">
        <v>300000</v>
      </c>
      <c r="E16" t="inlineStr">
        <is>
          <t>fy_minus_9m</t>
        </is>
      </c>
      <c r="F16" t="inlineStr">
        <is>
          <t>0001441816-25-000057 - 0001441816-24-000260</t>
        </is>
      </c>
      <c r="G16" t="inlineStr">
        <is>
          <t>2025-03-21</t>
        </is>
      </c>
    </row>
    <row r="17">
      <c r="A17" t="inlineStr">
        <is>
          <t>amort_intangibles</t>
        </is>
      </c>
      <c r="B17" t="inlineStr">
        <is>
          <t>Q1 FY26</t>
        </is>
      </c>
      <c r="C17" t="inlineStr">
        <is>
          <t>2025-04-30</t>
        </is>
      </c>
      <c r="D17" t="n">
        <v>3100000</v>
      </c>
      <c r="E17" t="inlineStr">
        <is>
          <t>reported_3m</t>
        </is>
      </c>
      <c r="F17" t="inlineStr">
        <is>
          <t>0001441816-25-000118</t>
        </is>
      </c>
      <c r="G17" t="inlineStr">
        <is>
          <t>2025-06-04</t>
        </is>
      </c>
    </row>
    <row r="18">
      <c r="A18" t="inlineStr">
        <is>
          <t>amort_intangibles</t>
        </is>
      </c>
      <c r="B18" t="inlineStr">
        <is>
          <t>Q2 FY26</t>
        </is>
      </c>
      <c r="C18" t="inlineStr">
        <is>
          <t>2025-07-31</t>
        </is>
      </c>
      <c r="D18" t="n">
        <v>3800000</v>
      </c>
      <c r="E18" t="inlineStr">
        <is>
          <t>reported_3m</t>
        </is>
      </c>
      <c r="F18" t="inlineStr">
        <is>
          <t>0001441816-25-000181</t>
        </is>
      </c>
      <c r="G18" t="inlineStr">
        <is>
          <t>2025-08-27</t>
        </is>
      </c>
    </row>
    <row r="19">
      <c r="A19" t="inlineStr">
        <is>
          <t>capex</t>
        </is>
      </c>
      <c r="B19" t="inlineStr">
        <is>
          <t>Q4 FY22</t>
        </is>
      </c>
      <c r="C19" t="inlineStr">
        <is>
          <t>2022-01-31</t>
        </is>
      </c>
      <c r="D19" t="n">
        <v>3556000</v>
      </c>
      <c r="E19" t="inlineStr">
        <is>
          <t>fy_minus_9m</t>
        </is>
      </c>
      <c r="F19" t="inlineStr">
        <is>
          <t>0001441816-24-000049 - 0001441816-22-000193</t>
        </is>
      </c>
      <c r="G19" t="inlineStr">
        <is>
          <t>2024-03-15</t>
        </is>
      </c>
    </row>
    <row r="20">
      <c r="A20" t="inlineStr">
        <is>
          <t>capex</t>
        </is>
      </c>
      <c r="B20" t="inlineStr">
        <is>
          <t>Q1 FY23</t>
        </is>
      </c>
      <c r="C20" t="inlineStr">
        <is>
          <t>2022-04-30</t>
        </is>
      </c>
      <c r="D20" t="n">
        <v>2538000</v>
      </c>
      <c r="E20" t="inlineStr">
        <is>
          <t>reported_3m</t>
        </is>
      </c>
      <c r="F20" t="inlineStr">
        <is>
          <t>0001441816-23-000087</t>
        </is>
      </c>
      <c r="G20" t="inlineStr">
        <is>
          <t>2023-06-02</t>
        </is>
      </c>
    </row>
    <row r="21">
      <c r="A21" t="inlineStr">
        <is>
          <t>capex</t>
        </is>
      </c>
      <c r="B21" t="inlineStr">
        <is>
          <t>Q2 FY23</t>
        </is>
      </c>
      <c r="C21" t="inlineStr">
        <is>
          <t>2022-07-31</t>
        </is>
      </c>
      <c r="D21" t="n">
        <v>2614000</v>
      </c>
      <c r="E21" t="inlineStr">
        <is>
          <t>ytd_diff</t>
        </is>
      </c>
      <c r="F21" t="inlineStr">
        <is>
          <t>0001441816-23-000168 - 0001441816-23-000087</t>
        </is>
      </c>
      <c r="G21" t="inlineStr">
        <is>
          <t>2023-09-01</t>
        </is>
      </c>
    </row>
    <row r="22">
      <c r="A22" t="inlineStr">
        <is>
          <t>capex</t>
        </is>
      </c>
      <c r="B22" t="inlineStr">
        <is>
          <t>Q3 FY23</t>
        </is>
      </c>
      <c r="C22" t="inlineStr">
        <is>
          <t>2022-10-31</t>
        </is>
      </c>
      <c r="D22" t="n">
        <v>1381000</v>
      </c>
      <c r="E22" t="inlineStr">
        <is>
          <t>ytd_diff</t>
        </is>
      </c>
      <c r="F22" t="inlineStr">
        <is>
          <t>0001441816-23-000248 - 0001441816-23-000168</t>
        </is>
      </c>
      <c r="G22" t="inlineStr">
        <is>
          <t>2023-12-07</t>
        </is>
      </c>
    </row>
    <row r="23">
      <c r="A23" t="inlineStr">
        <is>
          <t>capex</t>
        </is>
      </c>
      <c r="B23" t="inlineStr">
        <is>
          <t>Q4 FY23</t>
        </is>
      </c>
      <c r="C23" t="inlineStr">
        <is>
          <t>2023-01-31</t>
        </is>
      </c>
      <c r="D23" t="n">
        <v>711000</v>
      </c>
      <c r="E23" t="inlineStr">
        <is>
          <t>fy_minus_9m</t>
        </is>
      </c>
      <c r="F23" t="inlineStr">
        <is>
          <t>0001441816-25-000057 - 0001441816-23-000248</t>
        </is>
      </c>
      <c r="G23" t="inlineStr">
        <is>
          <t>2025-03-21</t>
        </is>
      </c>
    </row>
    <row r="24">
      <c r="A24" t="inlineStr">
        <is>
          <t>capex</t>
        </is>
      </c>
      <c r="B24" t="inlineStr">
        <is>
          <t>Q1 FY24</t>
        </is>
      </c>
      <c r="C24" t="inlineStr">
        <is>
          <t>2023-04-30</t>
        </is>
      </c>
      <c r="D24" t="n">
        <v>623000</v>
      </c>
      <c r="E24" t="inlineStr">
        <is>
          <t>reported_3m</t>
        </is>
      </c>
      <c r="F24" t="inlineStr">
        <is>
          <t>0001441816-24-000111</t>
        </is>
      </c>
      <c r="G24" t="inlineStr">
        <is>
          <t>2024-05-31</t>
        </is>
      </c>
    </row>
    <row r="25">
      <c r="A25" t="inlineStr">
        <is>
          <t>capex</t>
        </is>
      </c>
      <c r="B25" t="inlineStr">
        <is>
          <t>Q2 FY24</t>
        </is>
      </c>
      <c r="C25" t="inlineStr">
        <is>
          <t>2023-07-31</t>
        </is>
      </c>
      <c r="D25" t="n">
        <v>635000</v>
      </c>
      <c r="E25" t="inlineStr">
        <is>
          <t>ytd_diff</t>
        </is>
      </c>
      <c r="F25" t="inlineStr">
        <is>
          <t>0001441816-24-000188 - 0001441816-24-000111</t>
        </is>
      </c>
      <c r="G25" t="inlineStr">
        <is>
          <t>2024-08-30</t>
        </is>
      </c>
    </row>
    <row r="26">
      <c r="A26" t="inlineStr">
        <is>
          <t>capex</t>
        </is>
      </c>
      <c r="B26" t="inlineStr">
        <is>
          <t>Q3 FY24</t>
        </is>
      </c>
      <c r="C26" t="inlineStr">
        <is>
          <t>2023-10-31</t>
        </is>
      </c>
      <c r="D26" t="n">
        <v>2078000</v>
      </c>
      <c r="E26" t="inlineStr">
        <is>
          <t>ytd_diff</t>
        </is>
      </c>
      <c r="F26" t="inlineStr">
        <is>
          <t>0001441816-24-000260 - 0001441816-24-000188</t>
        </is>
      </c>
      <c r="G26" t="inlineStr">
        <is>
          <t>2024-12-10</t>
        </is>
      </c>
    </row>
    <row r="27">
      <c r="A27" t="inlineStr">
        <is>
          <t>capex</t>
        </is>
      </c>
      <c r="B27" t="inlineStr">
        <is>
          <t>Q4 FY24</t>
        </is>
      </c>
      <c r="C27" t="inlineStr">
        <is>
          <t>2024-01-31</t>
        </is>
      </c>
      <c r="D27" t="n">
        <v>2738000</v>
      </c>
      <c r="E27" t="inlineStr">
        <is>
          <t>fy_minus_9m</t>
        </is>
      </c>
      <c r="F27" t="inlineStr">
        <is>
          <t>0001441816-25-000057 - 0001441816-24-000260</t>
        </is>
      </c>
      <c r="G27" t="inlineStr">
        <is>
          <t>2025-03-21</t>
        </is>
      </c>
    </row>
    <row r="28">
      <c r="A28" t="inlineStr">
        <is>
          <t>capex</t>
        </is>
      </c>
      <c r="B28" t="inlineStr">
        <is>
          <t>Q1 FY25</t>
        </is>
      </c>
      <c r="C28" t="inlineStr">
        <is>
          <t>2024-04-30</t>
        </is>
      </c>
      <c r="D28" t="n">
        <v>539000</v>
      </c>
      <c r="E28" t="inlineStr">
        <is>
          <t>reported_3m</t>
        </is>
      </c>
      <c r="F28" t="inlineStr">
        <is>
          <t>0001441816-25-000118</t>
        </is>
      </c>
      <c r="G28" t="inlineStr">
        <is>
          <t>2025-06-04</t>
        </is>
      </c>
    </row>
    <row r="29">
      <c r="A29" t="inlineStr">
        <is>
          <t>capex</t>
        </is>
      </c>
      <c r="B29" t="inlineStr">
        <is>
          <t>Q2 FY25</t>
        </is>
      </c>
      <c r="C29" t="inlineStr">
        <is>
          <t>2024-07-31</t>
        </is>
      </c>
      <c r="D29" t="n">
        <v>1051000</v>
      </c>
      <c r="E29" t="inlineStr">
        <is>
          <t>ytd_diff</t>
        </is>
      </c>
      <c r="F29" t="inlineStr">
        <is>
          <t>0001441816-25-000181 - 0001441816-25-000118</t>
        </is>
      </c>
      <c r="G29" t="inlineStr">
        <is>
          <t>2025-08-27</t>
        </is>
      </c>
    </row>
    <row r="30">
      <c r="A30" t="inlineStr">
        <is>
          <t>capex</t>
        </is>
      </c>
      <c r="B30" t="inlineStr">
        <is>
          <t>Q3 FY25</t>
        </is>
      </c>
      <c r="C30" t="inlineStr">
        <is>
          <t>2024-10-31</t>
        </is>
      </c>
      <c r="D30" t="n">
        <v>1981000</v>
      </c>
      <c r="E30" t="inlineStr">
        <is>
          <t>ytd_diff</t>
        </is>
      </c>
      <c r="F30" t="inlineStr">
        <is>
          <t>0001441816-24-000260 - 0001441816-25-000181</t>
        </is>
      </c>
      <c r="G30" t="inlineStr">
        <is>
          <t>2025-08-27</t>
        </is>
      </c>
    </row>
    <row r="31">
      <c r="A31" t="inlineStr">
        <is>
          <t>capex</t>
        </is>
      </c>
      <c r="B31" t="inlineStr">
        <is>
          <t>Q4 FY25</t>
        </is>
      </c>
      <c r="C31" t="inlineStr">
        <is>
          <t>2025-01-31</t>
        </is>
      </c>
      <c r="D31" t="n">
        <v>25979000</v>
      </c>
      <c r="E31" t="inlineStr">
        <is>
          <t>fy_minus_9m</t>
        </is>
      </c>
      <c r="F31" t="inlineStr">
        <is>
          <t>0001441816-25-000057 - 0001441816-24-000260</t>
        </is>
      </c>
      <c r="G31" t="inlineStr">
        <is>
          <t>2025-03-21</t>
        </is>
      </c>
    </row>
    <row r="32">
      <c r="A32" t="inlineStr">
        <is>
          <t>capex</t>
        </is>
      </c>
      <c r="B32" t="inlineStr">
        <is>
          <t>Q1 FY26</t>
        </is>
      </c>
      <c r="C32" t="inlineStr">
        <is>
          <t>2025-04-30</t>
        </is>
      </c>
      <c r="D32" t="n">
        <v>1611000</v>
      </c>
      <c r="E32" t="inlineStr">
        <is>
          <t>reported_3m</t>
        </is>
      </c>
      <c r="F32" t="inlineStr">
        <is>
          <t>0001441816-25-000118</t>
        </is>
      </c>
      <c r="G32" t="inlineStr">
        <is>
          <t>2025-06-04</t>
        </is>
      </c>
    </row>
    <row r="33">
      <c r="A33" t="inlineStr">
        <is>
          <t>capex</t>
        </is>
      </c>
      <c r="B33" t="inlineStr">
        <is>
          <t>Q2 FY26</t>
        </is>
      </c>
      <c r="C33" t="inlineStr">
        <is>
          <t>2025-07-31</t>
        </is>
      </c>
      <c r="D33" t="n">
        <v>537000</v>
      </c>
      <c r="E33" t="inlineStr">
        <is>
          <t>ytd_diff</t>
        </is>
      </c>
      <c r="F33" t="inlineStr">
        <is>
          <t>0001441816-25-000181 - 0001441816-25-000118</t>
        </is>
      </c>
      <c r="G33" t="inlineStr">
        <is>
          <t>2025-08-27</t>
        </is>
      </c>
    </row>
    <row r="34">
      <c r="A34" t="inlineStr">
        <is>
          <t>cash</t>
        </is>
      </c>
      <c r="B34" t="inlineStr">
        <is>
          <t>Q4 FY22</t>
        </is>
      </c>
      <c r="C34" t="inlineStr">
        <is>
          <t>2022-01-31</t>
        </is>
      </c>
      <c r="D34" t="n">
        <v>473904000</v>
      </c>
      <c r="E34" t="inlineStr">
        <is>
          <t>reported_instant</t>
        </is>
      </c>
      <c r="F34" t="inlineStr">
        <is>
          <t>0001441816-24-000049</t>
        </is>
      </c>
      <c r="G34" t="inlineStr">
        <is>
          <t>2024-03-15</t>
        </is>
      </c>
    </row>
    <row r="35">
      <c r="A35" t="inlineStr">
        <is>
          <t>cash</t>
        </is>
      </c>
      <c r="B35" t="inlineStr">
        <is>
          <t>Q1 FY23</t>
        </is>
      </c>
      <c r="C35" t="inlineStr">
        <is>
          <t>2022-04-30</t>
        </is>
      </c>
      <c r="D35" t="n">
        <v>456275000</v>
      </c>
      <c r="E35" t="inlineStr">
        <is>
          <t>reported_instant</t>
        </is>
      </c>
      <c r="F35" t="inlineStr">
        <is>
          <t>0001441816-23-000087</t>
        </is>
      </c>
      <c r="G35" t="inlineStr">
        <is>
          <t>2023-06-02</t>
        </is>
      </c>
    </row>
    <row r="36">
      <c r="A36" t="inlineStr">
        <is>
          <t>cash</t>
        </is>
      </c>
      <c r="B36" t="inlineStr">
        <is>
          <t>Q2 FY23</t>
        </is>
      </c>
      <c r="C36" t="inlineStr">
        <is>
          <t>2022-07-31</t>
        </is>
      </c>
      <c r="D36" t="n">
        <v>651420000</v>
      </c>
      <c r="E36" t="inlineStr">
        <is>
          <t>reported_instant</t>
        </is>
      </c>
      <c r="F36" t="inlineStr">
        <is>
          <t>0001441816-23-000168</t>
        </is>
      </c>
      <c r="G36" t="inlineStr">
        <is>
          <t>2023-09-01</t>
        </is>
      </c>
    </row>
    <row r="37">
      <c r="A37" t="inlineStr">
        <is>
          <t>cash</t>
        </is>
      </c>
      <c r="B37" t="inlineStr">
        <is>
          <t>Q3 FY23</t>
        </is>
      </c>
      <c r="C37" t="inlineStr">
        <is>
          <t>2022-10-31</t>
        </is>
      </c>
      <c r="D37" t="n">
        <v>999674000</v>
      </c>
      <c r="E37" t="inlineStr">
        <is>
          <t>reported_instant</t>
        </is>
      </c>
      <c r="F37" t="inlineStr">
        <is>
          <t>0001441816-23-000248</t>
        </is>
      </c>
      <c r="G37" t="inlineStr">
        <is>
          <t>2023-12-07</t>
        </is>
      </c>
    </row>
    <row r="38">
      <c r="A38" t="inlineStr">
        <is>
          <t>cash</t>
        </is>
      </c>
      <c r="B38" t="inlineStr">
        <is>
          <t>Q4 FY23</t>
        </is>
      </c>
      <c r="C38" t="inlineStr">
        <is>
          <t>2023-01-31</t>
        </is>
      </c>
      <c r="D38" t="n">
        <v>455826000</v>
      </c>
      <c r="E38" t="inlineStr">
        <is>
          <t>reported_instant</t>
        </is>
      </c>
      <c r="F38" t="inlineStr">
        <is>
          <t>0001441816-25-000057</t>
        </is>
      </c>
      <c r="G38" t="inlineStr">
        <is>
          <t>2025-03-21</t>
        </is>
      </c>
    </row>
    <row r="39">
      <c r="A39" t="inlineStr">
        <is>
          <t>cash</t>
        </is>
      </c>
      <c r="B39" t="inlineStr">
        <is>
          <t>Q1 FY24</t>
        </is>
      </c>
      <c r="C39" t="inlineStr">
        <is>
          <t>2023-04-30</t>
        </is>
      </c>
      <c r="D39" t="n">
        <v>721787000</v>
      </c>
      <c r="E39" t="inlineStr">
        <is>
          <t>reported_instant</t>
        </is>
      </c>
      <c r="F39" t="inlineStr">
        <is>
          <t>0001441816-24-000111</t>
        </is>
      </c>
      <c r="G39" t="inlineStr">
        <is>
          <t>2024-05-31</t>
        </is>
      </c>
    </row>
    <row r="40">
      <c r="A40" t="inlineStr">
        <is>
          <t>cash</t>
        </is>
      </c>
      <c r="B40" t="inlineStr">
        <is>
          <t>Q2 FY24</t>
        </is>
      </c>
      <c r="C40" t="inlineStr">
        <is>
          <t>2023-07-31</t>
        </is>
      </c>
      <c r="D40" t="n">
        <v>607175000</v>
      </c>
      <c r="E40" t="inlineStr">
        <is>
          <t>reported_instant</t>
        </is>
      </c>
      <c r="F40" t="inlineStr">
        <is>
          <t>0001441816-24-000188</t>
        </is>
      </c>
      <c r="G40" t="inlineStr">
        <is>
          <t>2024-08-30</t>
        </is>
      </c>
    </row>
    <row r="41">
      <c r="A41" t="inlineStr">
        <is>
          <t>cash</t>
        </is>
      </c>
      <c r="B41" t="inlineStr">
        <is>
          <t>Q3 FY24</t>
        </is>
      </c>
      <c r="C41" t="inlineStr">
        <is>
          <t>2023-10-31</t>
        </is>
      </c>
      <c r="D41" t="n">
        <v>477675000</v>
      </c>
      <c r="E41" t="inlineStr">
        <is>
          <t>reported_instant</t>
        </is>
      </c>
      <c r="F41" t="inlineStr">
        <is>
          <t>0001441816-24-000260</t>
        </is>
      </c>
      <c r="G41" t="inlineStr">
        <is>
          <t>2024-12-10</t>
        </is>
      </c>
    </row>
    <row r="42">
      <c r="A42" t="inlineStr">
        <is>
          <t>cash</t>
        </is>
      </c>
      <c r="B42" t="inlineStr">
        <is>
          <t>Q4 FY24</t>
        </is>
      </c>
      <c r="C42" t="inlineStr">
        <is>
          <t>2024-01-31</t>
        </is>
      </c>
      <c r="D42" t="n">
        <v>802959000</v>
      </c>
      <c r="E42" t="inlineStr">
        <is>
          <t>reported_instant</t>
        </is>
      </c>
      <c r="F42" t="inlineStr">
        <is>
          <t>0001441816-25-000057</t>
        </is>
      </c>
      <c r="G42" t="inlineStr">
        <is>
          <t>2025-03-21</t>
        </is>
      </c>
    </row>
    <row r="43">
      <c r="A43" t="inlineStr">
        <is>
          <t>cash</t>
        </is>
      </c>
      <c r="B43" t="inlineStr">
        <is>
          <t>Q1 FY25</t>
        </is>
      </c>
      <c r="C43" t="inlineStr">
        <is>
          <t>2024-04-30</t>
        </is>
      </c>
      <c r="D43" t="n">
        <v>815704000</v>
      </c>
      <c r="E43" t="inlineStr">
        <is>
          <t>reported_instant</t>
        </is>
      </c>
      <c r="F43" t="inlineStr">
        <is>
          <t>0001441816-25-000118</t>
        </is>
      </c>
      <c r="G43" t="inlineStr">
        <is>
          <t>2025-06-04</t>
        </is>
      </c>
    </row>
    <row r="44">
      <c r="A44" t="inlineStr">
        <is>
          <t>cash</t>
        </is>
      </c>
      <c r="B44" t="inlineStr">
        <is>
          <t>Q2 FY25</t>
        </is>
      </c>
      <c r="C44" t="inlineStr">
        <is>
          <t>2024-07-31</t>
        </is>
      </c>
      <c r="D44" t="n">
        <v>1290901000</v>
      </c>
      <c r="E44" t="inlineStr">
        <is>
          <t>reported_instant</t>
        </is>
      </c>
      <c r="F44" t="inlineStr">
        <is>
          <t>0001441816-25-000181</t>
        </is>
      </c>
      <c r="G44" t="inlineStr">
        <is>
          <t>2025-08-27</t>
        </is>
      </c>
    </row>
    <row r="45">
      <c r="A45" t="inlineStr">
        <is>
          <t>cash</t>
        </is>
      </c>
      <c r="B45" t="inlineStr">
        <is>
          <t>Q3 FY25</t>
        </is>
      </c>
      <c r="C45" t="inlineStr">
        <is>
          <t>2024-10-31</t>
        </is>
      </c>
      <c r="D45" t="n">
        <v>673054000</v>
      </c>
      <c r="E45" t="inlineStr">
        <is>
          <t>reported_instant</t>
        </is>
      </c>
      <c r="F45" t="inlineStr">
        <is>
          <t>0001441816-24-000260</t>
        </is>
      </c>
      <c r="G45" t="inlineStr">
        <is>
          <t>2024-12-10</t>
        </is>
      </c>
    </row>
    <row r="46">
      <c r="A46" t="inlineStr">
        <is>
          <t>cash</t>
        </is>
      </c>
      <c r="B46" t="inlineStr">
        <is>
          <t>Q4 FY25</t>
        </is>
      </c>
      <c r="C46" t="inlineStr">
        <is>
          <t>2025-01-31</t>
        </is>
      </c>
      <c r="D46" t="n">
        <v>490133000</v>
      </c>
      <c r="E46" t="inlineStr">
        <is>
          <t>reported_instant</t>
        </is>
      </c>
      <c r="F46" t="inlineStr">
        <is>
          <t>0001441816-25-000181</t>
        </is>
      </c>
      <c r="G46" t="inlineStr">
        <is>
          <t>2025-08-27</t>
        </is>
      </c>
    </row>
    <row r="47">
      <c r="A47" t="inlineStr">
        <is>
          <t>cash</t>
        </is>
      </c>
      <c r="B47" t="inlineStr">
        <is>
          <t>Q1 FY26</t>
        </is>
      </c>
      <c r="C47" t="inlineStr">
        <is>
          <t>2025-04-30</t>
        </is>
      </c>
      <c r="D47" t="n">
        <v>657809000</v>
      </c>
      <c r="E47" t="inlineStr">
        <is>
          <t>reported_instant</t>
        </is>
      </c>
      <c r="F47" t="inlineStr">
        <is>
          <t>0001441816-25-000118</t>
        </is>
      </c>
      <c r="G47" t="inlineStr">
        <is>
          <t>2025-06-04</t>
        </is>
      </c>
    </row>
    <row r="48">
      <c r="A48" t="inlineStr">
        <is>
          <t>cash</t>
        </is>
      </c>
      <c r="B48" t="inlineStr">
        <is>
          <t>Q2 FY26</t>
        </is>
      </c>
      <c r="C48" t="inlineStr">
        <is>
          <t>2025-07-31</t>
        </is>
      </c>
      <c r="D48" t="n">
        <v>647139000</v>
      </c>
      <c r="E48" t="inlineStr">
        <is>
          <t>reported_instant</t>
        </is>
      </c>
      <c r="F48" t="inlineStr">
        <is>
          <t>0001441816-25-000181</t>
        </is>
      </c>
      <c r="G48" t="inlineStr">
        <is>
          <t>2025-08-27</t>
        </is>
      </c>
    </row>
    <row r="49">
      <c r="A49" t="inlineStr">
        <is>
          <t>cfo</t>
        </is>
      </c>
      <c r="B49" t="inlineStr">
        <is>
          <t>Q4 FY22</t>
        </is>
      </c>
      <c r="C49" t="inlineStr">
        <is>
          <t>2022-01-31</t>
        </is>
      </c>
      <c r="D49" t="n">
        <v>22311000</v>
      </c>
      <c r="E49" t="inlineStr">
        <is>
          <t>fy_minus_9m</t>
        </is>
      </c>
      <c r="F49" t="inlineStr">
        <is>
          <t>0001441816-24-000049 - 0001441816-22-000193</t>
        </is>
      </c>
      <c r="G49" t="inlineStr">
        <is>
          <t>2024-03-15</t>
        </is>
      </c>
    </row>
    <row r="50">
      <c r="A50" t="inlineStr">
        <is>
          <t>cfo</t>
        </is>
      </c>
      <c r="B50" t="inlineStr">
        <is>
          <t>Q1 FY23</t>
        </is>
      </c>
      <c r="C50" t="inlineStr">
        <is>
          <t>2022-04-30</t>
        </is>
      </c>
      <c r="D50" t="n">
        <v>11574000</v>
      </c>
      <c r="E50" t="inlineStr">
        <is>
          <t>reported_3m</t>
        </is>
      </c>
      <c r="F50" t="inlineStr">
        <is>
          <t>0001441816-23-000087</t>
        </is>
      </c>
      <c r="G50" t="inlineStr">
        <is>
          <t>2023-06-02</t>
        </is>
      </c>
    </row>
    <row r="51">
      <c r="A51" t="inlineStr">
        <is>
          <t>cfo</t>
        </is>
      </c>
      <c r="B51" t="inlineStr">
        <is>
          <t>Q2 FY23</t>
        </is>
      </c>
      <c r="C51" t="inlineStr">
        <is>
          <t>2022-07-31</t>
        </is>
      </c>
      <c r="D51" t="n">
        <v>-44671000</v>
      </c>
      <c r="E51" t="inlineStr">
        <is>
          <t>ytd_diff</t>
        </is>
      </c>
      <c r="F51" t="inlineStr">
        <is>
          <t>0001441816-23-000168 - 0001441816-23-000087</t>
        </is>
      </c>
      <c r="G51" t="inlineStr">
        <is>
          <t>2023-09-01</t>
        </is>
      </c>
    </row>
    <row r="52">
      <c r="A52" t="inlineStr">
        <is>
          <t>cfo</t>
        </is>
      </c>
      <c r="B52" t="inlineStr">
        <is>
          <t>Q3 FY23</t>
        </is>
      </c>
      <c r="C52" t="inlineStr">
        <is>
          <t>2022-10-31</t>
        </is>
      </c>
      <c r="D52" t="n">
        <v>-5744000</v>
      </c>
      <c r="E52" t="inlineStr">
        <is>
          <t>ytd_diff</t>
        </is>
      </c>
      <c r="F52" t="inlineStr">
        <is>
          <t>0001441816-23-000248 - 0001441816-23-000168</t>
        </is>
      </c>
      <c r="G52" t="inlineStr">
        <is>
          <t>2023-12-07</t>
        </is>
      </c>
    </row>
    <row r="53">
      <c r="A53" t="inlineStr">
        <is>
          <t>cfo</t>
        </is>
      </c>
      <c r="B53" t="inlineStr">
        <is>
          <t>Q4 FY23</t>
        </is>
      </c>
      <c r="C53" t="inlineStr">
        <is>
          <t>2023-01-31</t>
        </is>
      </c>
      <c r="D53" t="n">
        <v>25871000</v>
      </c>
      <c r="E53" t="inlineStr">
        <is>
          <t>fy_minus_9m</t>
        </is>
      </c>
      <c r="F53" t="inlineStr">
        <is>
          <t>0001441816-25-000057 - 0001441816-23-000248</t>
        </is>
      </c>
      <c r="G53" t="inlineStr">
        <is>
          <t>2025-03-21</t>
        </is>
      </c>
    </row>
    <row r="54">
      <c r="A54" t="inlineStr">
        <is>
          <t>cfo</t>
        </is>
      </c>
      <c r="B54" t="inlineStr">
        <is>
          <t>Q1 FY24</t>
        </is>
      </c>
      <c r="C54" t="inlineStr">
        <is>
          <t>2023-04-30</t>
        </is>
      </c>
      <c r="D54" t="n">
        <v>53730000</v>
      </c>
      <c r="E54" t="inlineStr">
        <is>
          <t>reported_3m</t>
        </is>
      </c>
      <c r="F54" t="inlineStr">
        <is>
          <t>0001441816-24-000111</t>
        </is>
      </c>
      <c r="G54" t="inlineStr">
        <is>
          <t>2024-05-31</t>
        </is>
      </c>
    </row>
    <row r="55">
      <c r="A55" t="inlineStr">
        <is>
          <t>cfo</t>
        </is>
      </c>
      <c r="B55" t="inlineStr">
        <is>
          <t>Q2 FY24</t>
        </is>
      </c>
      <c r="C55" t="inlineStr">
        <is>
          <t>2023-07-31</t>
        </is>
      </c>
      <c r="D55" t="n">
        <v>-25302000</v>
      </c>
      <c r="E55" t="inlineStr">
        <is>
          <t>ytd_diff</t>
        </is>
      </c>
      <c r="F55" t="inlineStr">
        <is>
          <t>0001441816-24-000188 - 0001441816-24-000111</t>
        </is>
      </c>
      <c r="G55" t="inlineStr">
        <is>
          <t>2024-08-30</t>
        </is>
      </c>
    </row>
    <row r="56">
      <c r="A56" t="inlineStr">
        <is>
          <t>cfo</t>
        </is>
      </c>
      <c r="B56" t="inlineStr">
        <is>
          <t>Q3 FY24</t>
        </is>
      </c>
      <c r="C56" t="inlineStr">
        <is>
          <t>2023-10-31</t>
        </is>
      </c>
      <c r="D56" t="n">
        <v>38422000</v>
      </c>
      <c r="E56" t="inlineStr">
        <is>
          <t>ytd_diff</t>
        </is>
      </c>
      <c r="F56" t="inlineStr">
        <is>
          <t>0001441816-24-000260 - 0001441816-24-000188</t>
        </is>
      </c>
      <c r="G56" t="inlineStr">
        <is>
          <t>2024-12-10</t>
        </is>
      </c>
    </row>
    <row r="57">
      <c r="A57" t="inlineStr">
        <is>
          <t>cfo</t>
        </is>
      </c>
      <c r="B57" t="inlineStr">
        <is>
          <t>Q4 FY24</t>
        </is>
      </c>
      <c r="C57" t="inlineStr">
        <is>
          <t>2024-01-31</t>
        </is>
      </c>
      <c r="D57" t="n">
        <v>54627000</v>
      </c>
      <c r="E57" t="inlineStr">
        <is>
          <t>fy_minus_9m</t>
        </is>
      </c>
      <c r="F57" t="inlineStr">
        <is>
          <t>0001441816-25-000057 - 0001441816-24-000260</t>
        </is>
      </c>
      <c r="G57" t="inlineStr">
        <is>
          <t>2025-03-21</t>
        </is>
      </c>
    </row>
    <row r="58">
      <c r="A58" t="inlineStr">
        <is>
          <t>cfo</t>
        </is>
      </c>
      <c r="B58" t="inlineStr">
        <is>
          <t>Q1 FY25</t>
        </is>
      </c>
      <c r="C58" t="inlineStr">
        <is>
          <t>2024-04-30</t>
        </is>
      </c>
      <c r="D58" t="n">
        <v>63613000</v>
      </c>
      <c r="E58" t="inlineStr">
        <is>
          <t>reported_3m</t>
        </is>
      </c>
      <c r="F58" t="inlineStr">
        <is>
          <t>0001441816-25-000118</t>
        </is>
      </c>
      <c r="G58" t="inlineStr">
        <is>
          <t>2025-06-04</t>
        </is>
      </c>
    </row>
    <row r="59">
      <c r="A59" t="inlineStr">
        <is>
          <t>cfo</t>
        </is>
      </c>
      <c r="B59" t="inlineStr">
        <is>
          <t>Q2 FY25</t>
        </is>
      </c>
      <c r="C59" t="inlineStr">
        <is>
          <t>2024-07-31</t>
        </is>
      </c>
      <c r="D59" t="n">
        <v>-1398000</v>
      </c>
      <c r="E59" t="inlineStr">
        <is>
          <t>ytd_diff</t>
        </is>
      </c>
      <c r="F59" t="inlineStr">
        <is>
          <t>0001441816-25-000181 - 0001441816-25-000118</t>
        </is>
      </c>
      <c r="G59" t="inlineStr">
        <is>
          <t>2025-08-27</t>
        </is>
      </c>
    </row>
    <row r="60">
      <c r="A60" t="inlineStr">
        <is>
          <t>cfo</t>
        </is>
      </c>
      <c r="B60" t="inlineStr">
        <is>
          <t>Q3 FY25</t>
        </is>
      </c>
      <c r="C60" t="inlineStr">
        <is>
          <t>2024-10-31</t>
        </is>
      </c>
      <c r="D60" t="n">
        <v>37438000</v>
      </c>
      <c r="E60" t="inlineStr">
        <is>
          <t>ytd_diff</t>
        </is>
      </c>
      <c r="F60" t="inlineStr">
        <is>
          <t>0001441816-24-000260 - 0001441816-25-000181</t>
        </is>
      </c>
      <c r="G60" t="inlineStr">
        <is>
          <t>2025-08-27</t>
        </is>
      </c>
    </row>
    <row r="61">
      <c r="A61" t="inlineStr">
        <is>
          <t>cfo</t>
        </is>
      </c>
      <c r="B61" t="inlineStr">
        <is>
          <t>Q4 FY25</t>
        </is>
      </c>
      <c r="C61" t="inlineStr">
        <is>
          <t>2025-01-31</t>
        </is>
      </c>
      <c r="D61" t="n">
        <v>50538000</v>
      </c>
      <c r="E61" t="inlineStr">
        <is>
          <t>fy_minus_9m</t>
        </is>
      </c>
      <c r="F61" t="inlineStr">
        <is>
          <t>0001441816-25-000057 - 0001441816-24-000260</t>
        </is>
      </c>
      <c r="G61" t="inlineStr">
        <is>
          <t>2025-03-21</t>
        </is>
      </c>
    </row>
    <row r="62">
      <c r="A62" t="inlineStr">
        <is>
          <t>cfo</t>
        </is>
      </c>
      <c r="B62" t="inlineStr">
        <is>
          <t>Q1 FY26</t>
        </is>
      </c>
      <c r="C62" t="inlineStr">
        <is>
          <t>2025-04-30</t>
        </is>
      </c>
      <c r="D62" t="n">
        <v>109929000</v>
      </c>
      <c r="E62" t="inlineStr">
        <is>
          <t>reported_3m</t>
        </is>
      </c>
      <c r="F62" t="inlineStr">
        <is>
          <t>0001441816-25-000118</t>
        </is>
      </c>
      <c r="G62" t="inlineStr">
        <is>
          <t>2025-06-04</t>
        </is>
      </c>
    </row>
    <row r="63">
      <c r="A63" t="inlineStr">
        <is>
          <t>cfo</t>
        </is>
      </c>
      <c r="B63" t="inlineStr">
        <is>
          <t>Q2 FY26</t>
        </is>
      </c>
      <c r="C63" t="inlineStr">
        <is>
          <t>2025-07-31</t>
        </is>
      </c>
      <c r="D63" t="n">
        <v>72105000</v>
      </c>
      <c r="E63" t="inlineStr">
        <is>
          <t>ytd_diff</t>
        </is>
      </c>
      <c r="F63" t="inlineStr">
        <is>
          <t>0001441816-25-000181 - 0001441816-25-000118</t>
        </is>
      </c>
      <c r="G63" t="inlineStr">
        <is>
          <t>2025-08-27</t>
        </is>
      </c>
    </row>
    <row r="64">
      <c r="A64" t="inlineStr">
        <is>
          <t>cost_of_revenue</t>
        </is>
      </c>
      <c r="B64" t="inlineStr">
        <is>
          <t>Q4 FY22</t>
        </is>
      </c>
      <c r="C64" t="inlineStr">
        <is>
          <t>2022-01-31</t>
        </is>
      </c>
      <c r="D64" t="n">
        <v>75798000</v>
      </c>
      <c r="E64" t="inlineStr">
        <is>
          <t>fy_minus_9m</t>
        </is>
      </c>
      <c r="F64" t="inlineStr">
        <is>
          <t>0001441816-24-000049 - 0001441816-22-000193</t>
        </is>
      </c>
      <c r="G64" t="inlineStr">
        <is>
          <t>2024-03-15</t>
        </is>
      </c>
    </row>
    <row r="65">
      <c r="A65" t="inlineStr">
        <is>
          <t>cost_of_revenue</t>
        </is>
      </c>
      <c r="B65" t="inlineStr">
        <is>
          <t>Q1 FY23</t>
        </is>
      </c>
      <c r="C65" t="inlineStr">
        <is>
          <t>2022-04-30</t>
        </is>
      </c>
      <c r="D65" t="n">
        <v>78215000</v>
      </c>
      <c r="E65" t="inlineStr">
        <is>
          <t>reported_3m</t>
        </is>
      </c>
      <c r="F65" t="inlineStr">
        <is>
          <t>0001441816-23-000087</t>
        </is>
      </c>
      <c r="G65" t="inlineStr">
        <is>
          <t>2023-06-02</t>
        </is>
      </c>
    </row>
    <row r="66">
      <c r="A66" t="inlineStr">
        <is>
          <t>cost_of_revenue</t>
        </is>
      </c>
      <c r="B66" t="inlineStr">
        <is>
          <t>Q2 FY23</t>
        </is>
      </c>
      <c r="C66" t="inlineStr">
        <is>
          <t>2022-07-31</t>
        </is>
      </c>
      <c r="D66" t="n">
        <v>88277000</v>
      </c>
      <c r="E66" t="inlineStr">
        <is>
          <t>reported_3m</t>
        </is>
      </c>
      <c r="F66" t="inlineStr">
        <is>
          <t>0001441816-23-000168</t>
        </is>
      </c>
      <c r="G66" t="inlineStr">
        <is>
          <t>2023-09-01</t>
        </is>
      </c>
    </row>
    <row r="67">
      <c r="A67" t="inlineStr">
        <is>
          <t>cost_of_revenue</t>
        </is>
      </c>
      <c r="B67" t="inlineStr">
        <is>
          <t>Q3 FY23</t>
        </is>
      </c>
      <c r="C67" t="inlineStr">
        <is>
          <t>2022-10-31</t>
        </is>
      </c>
      <c r="D67" t="n">
        <v>93652000</v>
      </c>
      <c r="E67" t="inlineStr">
        <is>
          <t>reported_3m</t>
        </is>
      </c>
      <c r="F67" t="inlineStr">
        <is>
          <t>0001441816-23-000248</t>
        </is>
      </c>
      <c r="G67" t="inlineStr">
        <is>
          <t>2023-12-07</t>
        </is>
      </c>
    </row>
    <row r="68">
      <c r="A68" t="inlineStr">
        <is>
          <t>cost_of_revenue</t>
        </is>
      </c>
      <c r="B68" t="inlineStr">
        <is>
          <t>Q4 FY23</t>
        </is>
      </c>
      <c r="C68" t="inlineStr">
        <is>
          <t>2023-01-31</t>
        </is>
      </c>
      <c r="D68" t="n">
        <v>89160000</v>
      </c>
      <c r="E68" t="inlineStr">
        <is>
          <t>fy_minus_9m</t>
        </is>
      </c>
      <c r="F68" t="inlineStr">
        <is>
          <t>0001441816-25-000057 - 0001441816-23-000248</t>
        </is>
      </c>
      <c r="G68" t="inlineStr">
        <is>
          <t>2025-03-21</t>
        </is>
      </c>
    </row>
    <row r="69">
      <c r="A69" t="inlineStr">
        <is>
          <t>cost_of_revenue</t>
        </is>
      </c>
      <c r="B69" t="inlineStr">
        <is>
          <t>Q1 FY24</t>
        </is>
      </c>
      <c r="C69" t="inlineStr">
        <is>
          <t>2023-04-30</t>
        </is>
      </c>
      <c r="D69" t="n">
        <v>97449000</v>
      </c>
      <c r="E69" t="inlineStr">
        <is>
          <t>reported_3m</t>
        </is>
      </c>
      <c r="F69" t="inlineStr">
        <is>
          <t>0001441816-24-000111</t>
        </is>
      </c>
      <c r="G69" t="inlineStr">
        <is>
          <t>2024-05-31</t>
        </is>
      </c>
    </row>
    <row r="70">
      <c r="A70" t="inlineStr">
        <is>
          <t>cost_of_revenue</t>
        </is>
      </c>
      <c r="B70" t="inlineStr">
        <is>
          <t>Q2 FY24</t>
        </is>
      </c>
      <c r="C70" t="inlineStr">
        <is>
          <t>2023-07-31</t>
        </is>
      </c>
      <c r="D70" t="n">
        <v>105337000</v>
      </c>
      <c r="E70" t="inlineStr">
        <is>
          <t>reported_3m</t>
        </is>
      </c>
      <c r="F70" t="inlineStr">
        <is>
          <t>0001441816-24-000188</t>
        </is>
      </c>
      <c r="G70" t="inlineStr">
        <is>
          <t>2024-08-30</t>
        </is>
      </c>
    </row>
    <row r="71">
      <c r="A71" t="inlineStr">
        <is>
          <t>cost_of_revenue</t>
        </is>
      </c>
      <c r="B71" t="inlineStr">
        <is>
          <t>Q3 FY24</t>
        </is>
      </c>
      <c r="C71" t="inlineStr">
        <is>
          <t>2023-10-31</t>
        </is>
      </c>
      <c r="D71" t="n">
        <v>107058000</v>
      </c>
      <c r="E71" t="inlineStr">
        <is>
          <t>reported_3m</t>
        </is>
      </c>
      <c r="F71" t="inlineStr">
        <is>
          <t>0001441816-24-000260</t>
        </is>
      </c>
      <c r="G71" t="inlineStr">
        <is>
          <t>2024-12-10</t>
        </is>
      </c>
    </row>
    <row r="72">
      <c r="A72" t="inlineStr">
        <is>
          <t>cost_of_revenue</t>
        </is>
      </c>
      <c r="B72" t="inlineStr">
        <is>
          <t>Q4 FY24</t>
        </is>
      </c>
      <c r="C72" t="inlineStr">
        <is>
          <t>2024-01-31</t>
        </is>
      </c>
      <c r="D72" t="n">
        <v>114641000</v>
      </c>
      <c r="E72" t="inlineStr">
        <is>
          <t>fy_minus_9m</t>
        </is>
      </c>
      <c r="F72" t="inlineStr">
        <is>
          <t>0001441816-25-000057 - 0001441816-24-000260</t>
        </is>
      </c>
      <c r="G72" t="inlineStr">
        <is>
          <t>2025-03-21</t>
        </is>
      </c>
    </row>
    <row r="73">
      <c r="A73" t="inlineStr">
        <is>
          <t>cost_of_revenue</t>
        </is>
      </c>
      <c r="B73" t="inlineStr">
        <is>
          <t>Q1 FY25</t>
        </is>
      </c>
      <c r="C73" t="inlineStr">
        <is>
          <t>2024-04-30</t>
        </is>
      </c>
      <c r="D73" t="n">
        <v>122697000</v>
      </c>
      <c r="E73" t="inlineStr">
        <is>
          <t>reported_3m</t>
        </is>
      </c>
      <c r="F73" t="inlineStr">
        <is>
          <t>0001441816-25-000118</t>
        </is>
      </c>
      <c r="G73" t="inlineStr">
        <is>
          <t>2025-06-04</t>
        </is>
      </c>
    </row>
    <row r="74">
      <c r="A74" t="inlineStr">
        <is>
          <t>cost_of_revenue</t>
        </is>
      </c>
      <c r="B74" t="inlineStr">
        <is>
          <t>Q2 FY25</t>
        </is>
      </c>
      <c r="C74" t="inlineStr">
        <is>
          <t>2024-07-31</t>
        </is>
      </c>
      <c r="D74" t="n">
        <v>128253000</v>
      </c>
      <c r="E74" t="inlineStr">
        <is>
          <t>reported_3m</t>
        </is>
      </c>
      <c r="F74" t="inlineStr">
        <is>
          <t>0001441816-25-000181</t>
        </is>
      </c>
      <c r="G74" t="inlineStr">
        <is>
          <t>2025-08-27</t>
        </is>
      </c>
    </row>
    <row r="75">
      <c r="A75" t="inlineStr">
        <is>
          <t>cost_of_revenue</t>
        </is>
      </c>
      <c r="B75" t="inlineStr">
        <is>
          <t>Q3 FY25</t>
        </is>
      </c>
      <c r="C75" t="inlineStr">
        <is>
          <t>2024-10-31</t>
        </is>
      </c>
      <c r="D75" t="n">
        <v>135331000</v>
      </c>
      <c r="E75" t="inlineStr">
        <is>
          <t>reported_3m</t>
        </is>
      </c>
      <c r="F75" t="inlineStr">
        <is>
          <t>0001441816-24-000260</t>
        </is>
      </c>
      <c r="G75" t="inlineStr">
        <is>
          <t>2024-12-10</t>
        </is>
      </c>
    </row>
    <row r="76">
      <c r="A76" t="inlineStr">
        <is>
          <t>cost_of_revenue</t>
        </is>
      </c>
      <c r="B76" t="inlineStr">
        <is>
          <t>Q4 FY25</t>
        </is>
      </c>
      <c r="C76" t="inlineStr">
        <is>
          <t>2025-01-31</t>
        </is>
      </c>
      <c r="D76" t="n">
        <v>149015000</v>
      </c>
      <c r="E76" t="inlineStr">
        <is>
          <t>fy_minus_9m</t>
        </is>
      </c>
      <c r="F76" t="inlineStr">
        <is>
          <t>0001441816-25-000057 - 0001441816-24-000260</t>
        </is>
      </c>
      <c r="G76" t="inlineStr">
        <is>
          <t>2025-03-21</t>
        </is>
      </c>
    </row>
    <row r="77">
      <c r="A77" t="inlineStr">
        <is>
          <t>cost_of_revenue</t>
        </is>
      </c>
      <c r="B77" t="inlineStr">
        <is>
          <t>Q1 FY26</t>
        </is>
      </c>
      <c r="C77" t="inlineStr">
        <is>
          <t>2025-04-30</t>
        </is>
      </c>
      <c r="D77" t="n">
        <v>158041000</v>
      </c>
      <c r="E77" t="inlineStr">
        <is>
          <t>reported_3m</t>
        </is>
      </c>
      <c r="F77" t="inlineStr">
        <is>
          <t>0001441816-25-000118</t>
        </is>
      </c>
      <c r="G77" t="inlineStr">
        <is>
          <t>2025-06-04</t>
        </is>
      </c>
    </row>
    <row r="78">
      <c r="A78" t="inlineStr">
        <is>
          <t>cost_of_revenue</t>
        </is>
      </c>
      <c r="B78" t="inlineStr">
        <is>
          <t>Q2 FY26</t>
        </is>
      </c>
      <c r="C78" t="inlineStr">
        <is>
          <t>2025-07-31</t>
        </is>
      </c>
      <c r="D78" t="n">
        <v>171428000</v>
      </c>
      <c r="E78" t="inlineStr">
        <is>
          <t>reported_3m</t>
        </is>
      </c>
      <c r="F78" t="inlineStr">
        <is>
          <t>0001441816-25-000181</t>
        </is>
      </c>
      <c r="G78" t="inlineStr">
        <is>
          <t>2025-08-27</t>
        </is>
      </c>
    </row>
    <row r="79">
      <c r="A79" t="inlineStr">
        <is>
          <t>cost_services</t>
        </is>
      </c>
      <c r="B79" t="inlineStr">
        <is>
          <t>Q4 FY22</t>
        </is>
      </c>
      <c r="C79" t="inlineStr">
        <is>
          <t>2022-01-31</t>
        </is>
      </c>
      <c r="D79" t="n">
        <v>11632000</v>
      </c>
      <c r="E79" t="inlineStr">
        <is>
          <t>fy_minus_9m</t>
        </is>
      </c>
      <c r="F79" t="inlineStr">
        <is>
          <t>0001441816-24-000049 - 0001441816-22-000193</t>
        </is>
      </c>
      <c r="G79" t="inlineStr">
        <is>
          <t>2024-03-15</t>
        </is>
      </c>
    </row>
    <row r="80">
      <c r="A80" t="inlineStr">
        <is>
          <t>cost_services</t>
        </is>
      </c>
      <c r="B80" t="inlineStr">
        <is>
          <t>Q1 FY23</t>
        </is>
      </c>
      <c r="C80" t="inlineStr">
        <is>
          <t>2022-04-30</t>
        </is>
      </c>
      <c r="D80" t="n">
        <v>13646000</v>
      </c>
      <c r="E80" t="inlineStr">
        <is>
          <t>reported_3m</t>
        </is>
      </c>
      <c r="F80" t="inlineStr">
        <is>
          <t>0001441816-23-000087</t>
        </is>
      </c>
      <c r="G80" t="inlineStr">
        <is>
          <t>2023-06-02</t>
        </is>
      </c>
    </row>
    <row r="81">
      <c r="A81" t="inlineStr">
        <is>
          <t>cost_services</t>
        </is>
      </c>
      <c r="B81" t="inlineStr">
        <is>
          <t>Q2 FY23</t>
        </is>
      </c>
      <c r="C81" t="inlineStr">
        <is>
          <t>2022-07-31</t>
        </is>
      </c>
      <c r="D81" t="n">
        <v>16842000</v>
      </c>
      <c r="E81" t="inlineStr">
        <is>
          <t>reported_3m</t>
        </is>
      </c>
      <c r="F81" t="inlineStr">
        <is>
          <t>0001441816-23-000168</t>
        </is>
      </c>
      <c r="G81" t="inlineStr">
        <is>
          <t>2023-09-01</t>
        </is>
      </c>
    </row>
    <row r="82">
      <c r="A82" t="inlineStr">
        <is>
          <t>cost_services</t>
        </is>
      </c>
      <c r="B82" t="inlineStr">
        <is>
          <t>Q3 FY23</t>
        </is>
      </c>
      <c r="C82" t="inlineStr">
        <is>
          <t>2022-10-31</t>
        </is>
      </c>
      <c r="D82" t="n">
        <v>16502000</v>
      </c>
      <c r="E82" t="inlineStr">
        <is>
          <t>reported_3m</t>
        </is>
      </c>
      <c r="F82" t="inlineStr">
        <is>
          <t>0001441816-23-000248</t>
        </is>
      </c>
      <c r="G82" t="inlineStr">
        <is>
          <t>2023-12-07</t>
        </is>
      </c>
    </row>
    <row r="83">
      <c r="A83" t="inlineStr">
        <is>
          <t>cost_services</t>
        </is>
      </c>
      <c r="B83" t="inlineStr">
        <is>
          <t>Q4 FY23</t>
        </is>
      </c>
      <c r="C83" t="inlineStr">
        <is>
          <t>2023-01-31</t>
        </is>
      </c>
      <c r="D83" t="n">
        <v>17731000</v>
      </c>
      <c r="E83" t="inlineStr">
        <is>
          <t>fy_minus_9m</t>
        </is>
      </c>
      <c r="F83" t="inlineStr">
        <is>
          <t>0001441816-25-000057 - 0001441816-23-000248</t>
        </is>
      </c>
      <c r="G83" t="inlineStr">
        <is>
          <t>2025-03-21</t>
        </is>
      </c>
    </row>
    <row r="84">
      <c r="A84" t="inlineStr">
        <is>
          <t>cost_services</t>
        </is>
      </c>
      <c r="B84" t="inlineStr">
        <is>
          <t>Q1 FY24</t>
        </is>
      </c>
      <c r="C84" t="inlineStr">
        <is>
          <t>2023-04-30</t>
        </is>
      </c>
      <c r="D84" t="n">
        <v>19276000</v>
      </c>
      <c r="E84" t="inlineStr">
        <is>
          <t>reported_3m</t>
        </is>
      </c>
      <c r="F84" t="inlineStr">
        <is>
          <t>0001441816-24-000111</t>
        </is>
      </c>
      <c r="G84" t="inlineStr">
        <is>
          <t>2024-05-31</t>
        </is>
      </c>
    </row>
    <row r="85">
      <c r="A85" t="inlineStr">
        <is>
          <t>cost_services</t>
        </is>
      </c>
      <c r="B85" t="inlineStr">
        <is>
          <t>Q2 FY24</t>
        </is>
      </c>
      <c r="C85" t="inlineStr">
        <is>
          <t>2023-07-31</t>
        </is>
      </c>
      <c r="D85" t="n">
        <v>20515000</v>
      </c>
      <c r="E85" t="inlineStr">
        <is>
          <t>reported_3m</t>
        </is>
      </c>
      <c r="F85" t="inlineStr">
        <is>
          <t>0001441816-24-000188</t>
        </is>
      </c>
      <c r="G85" t="inlineStr">
        <is>
          <t>2024-08-30</t>
        </is>
      </c>
    </row>
    <row r="86">
      <c r="A86" t="inlineStr">
        <is>
          <t>cost_services</t>
        </is>
      </c>
      <c r="B86" t="inlineStr">
        <is>
          <t>Q3 FY24</t>
        </is>
      </c>
      <c r="C86" t="inlineStr">
        <is>
          <t>2023-10-31</t>
        </is>
      </c>
      <c r="D86" t="n">
        <v>19104000</v>
      </c>
      <c r="E86" t="inlineStr">
        <is>
          <t>reported_3m</t>
        </is>
      </c>
      <c r="F86" t="inlineStr">
        <is>
          <t>0001441816-24-000260</t>
        </is>
      </c>
      <c r="G86" t="inlineStr">
        <is>
          <t>2024-12-10</t>
        </is>
      </c>
    </row>
    <row r="87">
      <c r="A87" t="inlineStr">
        <is>
          <t>cost_services</t>
        </is>
      </c>
      <c r="B87" t="inlineStr">
        <is>
          <t>Q4 FY24</t>
        </is>
      </c>
      <c r="C87" t="inlineStr">
        <is>
          <t>2024-01-31</t>
        </is>
      </c>
      <c r="D87" t="n">
        <v>20357000</v>
      </c>
      <c r="E87" t="inlineStr">
        <is>
          <t>fy_minus_9m</t>
        </is>
      </c>
      <c r="F87" t="inlineStr">
        <is>
          <t>0001441816-25-000057 - 0001441816-24-000260</t>
        </is>
      </c>
      <c r="G87" t="inlineStr">
        <is>
          <t>2025-03-21</t>
        </is>
      </c>
    </row>
    <row r="88">
      <c r="A88" t="inlineStr">
        <is>
          <t>cost_services</t>
        </is>
      </c>
      <c r="B88" t="inlineStr">
        <is>
          <t>Q1 FY25</t>
        </is>
      </c>
      <c r="C88" t="inlineStr">
        <is>
          <t>2024-04-30</t>
        </is>
      </c>
      <c r="D88" t="n">
        <v>21935000</v>
      </c>
      <c r="E88" t="inlineStr">
        <is>
          <t>reported_3m</t>
        </is>
      </c>
      <c r="F88" t="inlineStr">
        <is>
          <t>0001441816-25-000118</t>
        </is>
      </c>
      <c r="G88" t="inlineStr">
        <is>
          <t>2025-06-04</t>
        </is>
      </c>
    </row>
    <row r="89">
      <c r="A89" t="inlineStr">
        <is>
          <t>cost_services</t>
        </is>
      </c>
      <c r="B89" t="inlineStr">
        <is>
          <t>Q2 FY25</t>
        </is>
      </c>
      <c r="C89" t="inlineStr">
        <is>
          <t>2024-07-31</t>
        </is>
      </c>
      <c r="D89" t="n">
        <v>21437000</v>
      </c>
      <c r="E89" t="inlineStr">
        <is>
          <t>reported_3m</t>
        </is>
      </c>
      <c r="F89" t="inlineStr">
        <is>
          <t>0001441816-25-000181</t>
        </is>
      </c>
      <c r="G89" t="inlineStr">
        <is>
          <t>2025-08-27</t>
        </is>
      </c>
    </row>
    <row r="90">
      <c r="A90" t="inlineStr">
        <is>
          <t>cost_services</t>
        </is>
      </c>
      <c r="B90" t="inlineStr">
        <is>
          <t>Q3 FY25</t>
        </is>
      </c>
      <c r="C90" t="inlineStr">
        <is>
          <t>2024-10-31</t>
        </is>
      </c>
      <c r="D90" t="n">
        <v>24181000</v>
      </c>
      <c r="E90" t="inlineStr">
        <is>
          <t>reported_3m</t>
        </is>
      </c>
      <c r="F90" t="inlineStr">
        <is>
          <t>0001441816-24-000260</t>
        </is>
      </c>
      <c r="G90" t="inlineStr">
        <is>
          <t>2024-12-10</t>
        </is>
      </c>
    </row>
    <row r="91">
      <c r="A91" t="inlineStr">
        <is>
          <t>cost_services</t>
        </is>
      </c>
      <c r="B91" t="inlineStr">
        <is>
          <t>Q4 FY25</t>
        </is>
      </c>
      <c r="C91" t="inlineStr">
        <is>
          <t>2025-01-31</t>
        </is>
      </c>
      <c r="D91" t="n">
        <v>26339000</v>
      </c>
      <c r="E91" t="inlineStr">
        <is>
          <t>fy_minus_9m</t>
        </is>
      </c>
      <c r="F91" t="inlineStr">
        <is>
          <t>0001441816-25-000057 - 0001441816-24-000260</t>
        </is>
      </c>
      <c r="G91" t="inlineStr">
        <is>
          <t>2025-03-21</t>
        </is>
      </c>
    </row>
    <row r="92">
      <c r="A92" t="inlineStr">
        <is>
          <t>cost_services</t>
        </is>
      </c>
      <c r="B92" t="inlineStr">
        <is>
          <t>Q1 FY26</t>
        </is>
      </c>
      <c r="C92" t="inlineStr">
        <is>
          <t>2025-04-30</t>
        </is>
      </c>
      <c r="D92" t="n">
        <v>28456000</v>
      </c>
      <c r="E92" t="inlineStr">
        <is>
          <t>reported_3m</t>
        </is>
      </c>
      <c r="F92" t="inlineStr">
        <is>
          <t>0001441816-25-000118</t>
        </is>
      </c>
      <c r="G92" t="inlineStr">
        <is>
          <t>2025-06-04</t>
        </is>
      </c>
    </row>
    <row r="93">
      <c r="A93" t="inlineStr">
        <is>
          <t>cost_services</t>
        </is>
      </c>
      <c r="B93" t="inlineStr">
        <is>
          <t>Q2 FY26</t>
        </is>
      </c>
      <c r="C93" t="inlineStr">
        <is>
          <t>2025-07-31</t>
        </is>
      </c>
      <c r="D93" t="n">
        <v>31479000</v>
      </c>
      <c r="E93" t="inlineStr">
        <is>
          <t>reported_3m</t>
        </is>
      </c>
      <c r="F93" t="inlineStr">
        <is>
          <t>0001441816-25-000181</t>
        </is>
      </c>
      <c r="G93" t="inlineStr">
        <is>
          <t>2025-08-27</t>
        </is>
      </c>
    </row>
    <row r="94">
      <c r="A94" t="inlineStr">
        <is>
          <t>cost_subscription</t>
        </is>
      </c>
      <c r="B94" t="inlineStr">
        <is>
          <t>Q4 FY22</t>
        </is>
      </c>
      <c r="C94" t="inlineStr">
        <is>
          <t>2022-01-31</t>
        </is>
      </c>
      <c r="D94" t="n">
        <v>64166000</v>
      </c>
      <c r="E94" t="inlineStr">
        <is>
          <t>fy_minus_9m</t>
        </is>
      </c>
      <c r="F94" t="inlineStr">
        <is>
          <t>0001441816-24-000049 - 0001441816-22-000193</t>
        </is>
      </c>
      <c r="G94" t="inlineStr">
        <is>
          <t>2024-03-15</t>
        </is>
      </c>
    </row>
    <row r="95">
      <c r="A95" t="inlineStr">
        <is>
          <t>cost_subscription</t>
        </is>
      </c>
      <c r="B95" t="inlineStr">
        <is>
          <t>Q1 FY23</t>
        </is>
      </c>
      <c r="C95" t="inlineStr">
        <is>
          <t>2022-04-30</t>
        </is>
      </c>
      <c r="D95" t="n">
        <v>64569000</v>
      </c>
      <c r="E95" t="inlineStr">
        <is>
          <t>reported_3m</t>
        </is>
      </c>
      <c r="F95" t="inlineStr">
        <is>
          <t>0001441816-23-000087</t>
        </is>
      </c>
      <c r="G95" t="inlineStr">
        <is>
          <t>2023-06-02</t>
        </is>
      </c>
    </row>
    <row r="96">
      <c r="A96" t="inlineStr">
        <is>
          <t>cost_subscription</t>
        </is>
      </c>
      <c r="B96" t="inlineStr">
        <is>
          <t>Q2 FY23</t>
        </is>
      </c>
      <c r="C96" t="inlineStr">
        <is>
          <t>2022-07-31</t>
        </is>
      </c>
      <c r="D96" t="n">
        <v>71435000</v>
      </c>
      <c r="E96" t="inlineStr">
        <is>
          <t>reported_3m</t>
        </is>
      </c>
      <c r="F96" t="inlineStr">
        <is>
          <t>0001441816-23-000168</t>
        </is>
      </c>
      <c r="G96" t="inlineStr">
        <is>
          <t>2023-09-01</t>
        </is>
      </c>
    </row>
    <row r="97">
      <c r="A97" t="inlineStr">
        <is>
          <t>cost_subscription</t>
        </is>
      </c>
      <c r="B97" t="inlineStr">
        <is>
          <t>Q3 FY23</t>
        </is>
      </c>
      <c r="C97" t="inlineStr">
        <is>
          <t>2022-10-31</t>
        </is>
      </c>
      <c r="D97" t="n">
        <v>77150000</v>
      </c>
      <c r="E97" t="inlineStr">
        <is>
          <t>reported_3m</t>
        </is>
      </c>
      <c r="F97" t="inlineStr">
        <is>
          <t>0001441816-23-000248</t>
        </is>
      </c>
      <c r="G97" t="inlineStr">
        <is>
          <t>2023-12-07</t>
        </is>
      </c>
    </row>
    <row r="98">
      <c r="A98" t="inlineStr">
        <is>
          <t>cost_subscription</t>
        </is>
      </c>
      <c r="B98" t="inlineStr">
        <is>
          <t>Q4 FY23</t>
        </is>
      </c>
      <c r="C98" t="inlineStr">
        <is>
          <t>2023-01-31</t>
        </is>
      </c>
      <c r="D98" t="n">
        <v>71429000</v>
      </c>
      <c r="E98" t="inlineStr">
        <is>
          <t>fy_minus_9m</t>
        </is>
      </c>
      <c r="F98" t="inlineStr">
        <is>
          <t>0001441816-25-000057 - 0001441816-23-000248</t>
        </is>
      </c>
      <c r="G98" t="inlineStr">
        <is>
          <t>2025-03-21</t>
        </is>
      </c>
    </row>
    <row r="99">
      <c r="A99" t="inlineStr">
        <is>
          <t>cost_subscription</t>
        </is>
      </c>
      <c r="B99" t="inlineStr">
        <is>
          <t>Q1 FY24</t>
        </is>
      </c>
      <c r="C99" t="inlineStr">
        <is>
          <t>2023-04-30</t>
        </is>
      </c>
      <c r="D99" t="n">
        <v>78173000</v>
      </c>
      <c r="E99" t="inlineStr">
        <is>
          <t>reported_3m</t>
        </is>
      </c>
      <c r="F99" t="inlineStr">
        <is>
          <t>0001441816-24-000111</t>
        </is>
      </c>
      <c r="G99" t="inlineStr">
        <is>
          <t>2024-05-31</t>
        </is>
      </c>
    </row>
    <row r="100">
      <c r="A100" t="inlineStr">
        <is>
          <t>cost_subscription</t>
        </is>
      </c>
      <c r="B100" t="inlineStr">
        <is>
          <t>Q2 FY24</t>
        </is>
      </c>
      <c r="C100" t="inlineStr">
        <is>
          <t>2023-07-31</t>
        </is>
      </c>
      <c r="D100" t="n">
        <v>84822000</v>
      </c>
      <c r="E100" t="inlineStr">
        <is>
          <t>reported_3m</t>
        </is>
      </c>
      <c r="F100" t="inlineStr">
        <is>
          <t>0001441816-24-000188</t>
        </is>
      </c>
      <c r="G100" t="inlineStr">
        <is>
          <t>2024-08-30</t>
        </is>
      </c>
    </row>
    <row r="101">
      <c r="A101" t="inlineStr">
        <is>
          <t>cost_subscription</t>
        </is>
      </c>
      <c r="B101" t="inlineStr">
        <is>
          <t>Q3 FY24</t>
        </is>
      </c>
      <c r="C101" t="inlineStr">
        <is>
          <t>2023-10-31</t>
        </is>
      </c>
      <c r="D101" t="n">
        <v>87954000</v>
      </c>
      <c r="E101" t="inlineStr">
        <is>
          <t>reported_3m</t>
        </is>
      </c>
      <c r="F101" t="inlineStr">
        <is>
          <t>0001441816-24-000260</t>
        </is>
      </c>
      <c r="G101" t="inlineStr">
        <is>
          <t>2024-12-10</t>
        </is>
      </c>
    </row>
    <row r="102">
      <c r="A102" t="inlineStr">
        <is>
          <t>cost_subscription</t>
        </is>
      </c>
      <c r="B102" t="inlineStr">
        <is>
          <t>Q4 FY24</t>
        </is>
      </c>
      <c r="C102" t="inlineStr">
        <is>
          <t>2024-01-31</t>
        </is>
      </c>
      <c r="D102" t="n">
        <v>94284000</v>
      </c>
      <c r="E102" t="inlineStr">
        <is>
          <t>fy_minus_9m</t>
        </is>
      </c>
      <c r="F102" t="inlineStr">
        <is>
          <t>0001441816-25-000057 - 0001441816-24-000260</t>
        </is>
      </c>
      <c r="G102" t="inlineStr">
        <is>
          <t>2025-03-21</t>
        </is>
      </c>
    </row>
    <row r="103">
      <c r="A103" t="inlineStr">
        <is>
          <t>cost_subscription</t>
        </is>
      </c>
      <c r="B103" t="inlineStr">
        <is>
          <t>Q1 FY25</t>
        </is>
      </c>
      <c r="C103" t="inlineStr">
        <is>
          <t>2024-04-30</t>
        </is>
      </c>
      <c r="D103" t="n">
        <v>100762000</v>
      </c>
      <c r="E103" t="inlineStr">
        <is>
          <t>reported_3m</t>
        </is>
      </c>
      <c r="F103" t="inlineStr">
        <is>
          <t>0001441816-25-000118</t>
        </is>
      </c>
      <c r="G103" t="inlineStr">
        <is>
          <t>2025-06-04</t>
        </is>
      </c>
    </row>
    <row r="104">
      <c r="A104" t="inlineStr">
        <is>
          <t>cost_subscription</t>
        </is>
      </c>
      <c r="B104" t="inlineStr">
        <is>
          <t>Q2 FY25</t>
        </is>
      </c>
      <c r="C104" t="inlineStr">
        <is>
          <t>2024-07-31</t>
        </is>
      </c>
      <c r="D104" t="n">
        <v>106816000</v>
      </c>
      <c r="E104" t="inlineStr">
        <is>
          <t>reported_3m</t>
        </is>
      </c>
      <c r="F104" t="inlineStr">
        <is>
          <t>0001441816-25-000181</t>
        </is>
      </c>
      <c r="G104" t="inlineStr">
        <is>
          <t>2025-08-27</t>
        </is>
      </c>
    </row>
    <row r="105">
      <c r="A105" t="inlineStr">
        <is>
          <t>cost_subscription</t>
        </is>
      </c>
      <c r="B105" t="inlineStr">
        <is>
          <t>Q3 FY25</t>
        </is>
      </c>
      <c r="C105" t="inlineStr">
        <is>
          <t>2024-10-31</t>
        </is>
      </c>
      <c r="D105" t="n">
        <v>111150000</v>
      </c>
      <c r="E105" t="inlineStr">
        <is>
          <t>reported_3m</t>
        </is>
      </c>
      <c r="F105" t="inlineStr">
        <is>
          <t>0001441816-24-000260</t>
        </is>
      </c>
      <c r="G105" t="inlineStr">
        <is>
          <t>2024-12-10</t>
        </is>
      </c>
    </row>
    <row r="106">
      <c r="A106" t="inlineStr">
        <is>
          <t>cost_subscription</t>
        </is>
      </c>
      <c r="B106" t="inlineStr">
        <is>
          <t>Q4 FY25</t>
        </is>
      </c>
      <c r="C106" t="inlineStr">
        <is>
          <t>2025-01-31</t>
        </is>
      </c>
      <c r="D106" t="n">
        <v>122676000</v>
      </c>
      <c r="E106" t="inlineStr">
        <is>
          <t>fy_minus_9m</t>
        </is>
      </c>
      <c r="F106" t="inlineStr">
        <is>
          <t>0001441816-25-000057 - 0001441816-24-000260</t>
        </is>
      </c>
      <c r="G106" t="inlineStr">
        <is>
          <t>2025-03-21</t>
        </is>
      </c>
    </row>
    <row r="107">
      <c r="A107" t="inlineStr">
        <is>
          <t>cost_subscription</t>
        </is>
      </c>
      <c r="B107" t="inlineStr">
        <is>
          <t>Q1 FY26</t>
        </is>
      </c>
      <c r="C107" t="inlineStr">
        <is>
          <t>2025-04-30</t>
        </is>
      </c>
      <c r="D107" t="n">
        <v>129585000</v>
      </c>
      <c r="E107" t="inlineStr">
        <is>
          <t>reported_3m</t>
        </is>
      </c>
      <c r="F107" t="inlineStr">
        <is>
          <t>0001441816-25-000118</t>
        </is>
      </c>
      <c r="G107" t="inlineStr">
        <is>
          <t>2025-06-04</t>
        </is>
      </c>
    </row>
    <row r="108">
      <c r="A108" t="inlineStr">
        <is>
          <t>cost_subscription</t>
        </is>
      </c>
      <c r="B108" t="inlineStr">
        <is>
          <t>Q2 FY26</t>
        </is>
      </c>
      <c r="C108" t="inlineStr">
        <is>
          <t>2025-07-31</t>
        </is>
      </c>
      <c r="D108" t="n">
        <v>139949000</v>
      </c>
      <c r="E108" t="inlineStr">
        <is>
          <t>reported_3m</t>
        </is>
      </c>
      <c r="F108" t="inlineStr">
        <is>
          <t>0001441816-25-000181</t>
        </is>
      </c>
      <c r="G108" t="inlineStr">
        <is>
          <t>2025-08-27</t>
        </is>
      </c>
    </row>
    <row r="109">
      <c r="A109" t="inlineStr">
        <is>
          <t>deferred_revenue_current</t>
        </is>
      </c>
      <c r="B109" t="inlineStr">
        <is>
          <t>Q4 FY22</t>
        </is>
      </c>
      <c r="C109" t="inlineStr">
        <is>
          <t>2022-01-31</t>
        </is>
      </c>
      <c r="D109" t="n">
        <v>352001000</v>
      </c>
      <c r="E109" t="inlineStr">
        <is>
          <t>reported_instant</t>
        </is>
      </c>
      <c r="F109" t="inlineStr">
        <is>
          <t>0001441816-23-000027</t>
        </is>
      </c>
      <c r="G109" t="inlineStr">
        <is>
          <t>2023-03-17</t>
        </is>
      </c>
    </row>
    <row r="110">
      <c r="A110" t="inlineStr">
        <is>
          <t>deferred_revenue_current</t>
        </is>
      </c>
      <c r="B110" t="inlineStr">
        <is>
          <t>Q2 FY23</t>
        </is>
      </c>
      <c r="C110" t="inlineStr">
        <is>
          <t>2022-07-31</t>
        </is>
      </c>
      <c r="D110" t="n">
        <v>350709000</v>
      </c>
      <c r="E110" t="inlineStr">
        <is>
          <t>reported_instant</t>
        </is>
      </c>
      <c r="F110" t="inlineStr">
        <is>
          <t>0001441816-22-000164</t>
        </is>
      </c>
      <c r="G110" t="inlineStr">
        <is>
          <t>2022-09-02</t>
        </is>
      </c>
    </row>
    <row r="111">
      <c r="A111" t="inlineStr">
        <is>
          <t>deferred_revenue_current</t>
        </is>
      </c>
      <c r="B111" t="inlineStr">
        <is>
          <t>Q3 FY23</t>
        </is>
      </c>
      <c r="C111" t="inlineStr">
        <is>
          <t>2022-10-31</t>
        </is>
      </c>
      <c r="D111" t="n">
        <v>364159000</v>
      </c>
      <c r="E111" t="inlineStr">
        <is>
          <t>reported_instant</t>
        </is>
      </c>
      <c r="F111" t="inlineStr">
        <is>
          <t>0001441816-22-000193</t>
        </is>
      </c>
      <c r="G111" t="inlineStr">
        <is>
          <t>2022-12-08</t>
        </is>
      </c>
    </row>
    <row r="112">
      <c r="A112" t="inlineStr">
        <is>
          <t>deferred_revenue_current</t>
        </is>
      </c>
      <c r="B112" t="inlineStr">
        <is>
          <t>Q4 FY23</t>
        </is>
      </c>
      <c r="C112" t="inlineStr">
        <is>
          <t>2023-01-31</t>
        </is>
      </c>
      <c r="D112" t="n">
        <v>428747000</v>
      </c>
      <c r="E112" t="inlineStr">
        <is>
          <t>reported_instant</t>
        </is>
      </c>
      <c r="F112" t="inlineStr">
        <is>
          <t>0001441816-24-000049</t>
        </is>
      </c>
      <c r="G112" t="inlineStr">
        <is>
          <t>2024-03-15</t>
        </is>
      </c>
    </row>
    <row r="113">
      <c r="A113" t="inlineStr">
        <is>
          <t>deferred_revenue_current</t>
        </is>
      </c>
      <c r="B113" t="inlineStr">
        <is>
          <t>Q1 FY24</t>
        </is>
      </c>
      <c r="C113" t="inlineStr">
        <is>
          <t>2023-04-30</t>
        </is>
      </c>
      <c r="D113" t="n">
        <v>387206000</v>
      </c>
      <c r="E113" t="inlineStr">
        <is>
          <t>reported_instant</t>
        </is>
      </c>
      <c r="F113" t="inlineStr">
        <is>
          <t>0001441816-23-000087</t>
        </is>
      </c>
      <c r="G113" t="inlineStr">
        <is>
          <t>2023-06-02</t>
        </is>
      </c>
    </row>
    <row r="114">
      <c r="A114" t="inlineStr">
        <is>
          <t>deferred_revenue_current</t>
        </is>
      </c>
      <c r="B114" t="inlineStr">
        <is>
          <t>Q2 FY24</t>
        </is>
      </c>
      <c r="C114" t="inlineStr">
        <is>
          <t>2023-07-31</t>
        </is>
      </c>
      <c r="D114" t="n">
        <v>348355000</v>
      </c>
      <c r="E114" t="inlineStr">
        <is>
          <t>reported_instant</t>
        </is>
      </c>
      <c r="F114" t="inlineStr">
        <is>
          <t>0001441816-23-000168</t>
        </is>
      </c>
      <c r="G114" t="inlineStr">
        <is>
          <t>2023-09-01</t>
        </is>
      </c>
    </row>
    <row r="115">
      <c r="A115" t="inlineStr">
        <is>
          <t>deferred_revenue_current</t>
        </is>
      </c>
      <c r="B115" t="inlineStr">
        <is>
          <t>Q3 FY24</t>
        </is>
      </c>
      <c r="C115" t="inlineStr">
        <is>
          <t>2023-10-31</t>
        </is>
      </c>
      <c r="D115" t="n">
        <v>303325000</v>
      </c>
      <c r="E115" t="inlineStr">
        <is>
          <t>reported_instant</t>
        </is>
      </c>
      <c r="F115" t="inlineStr">
        <is>
          <t>0001441816-23-000248</t>
        </is>
      </c>
      <c r="G115" t="inlineStr">
        <is>
          <t>2023-12-07</t>
        </is>
      </c>
    </row>
    <row r="116">
      <c r="A116" t="inlineStr">
        <is>
          <t>deferred_revenue_current</t>
        </is>
      </c>
      <c r="B116" t="inlineStr">
        <is>
          <t>Q4 FY24</t>
        </is>
      </c>
      <c r="C116" t="inlineStr">
        <is>
          <t>2024-01-31</t>
        </is>
      </c>
      <c r="D116" t="n">
        <v>357108000</v>
      </c>
      <c r="E116" t="inlineStr">
        <is>
          <t>reported_instant</t>
        </is>
      </c>
      <c r="F116" t="inlineStr">
        <is>
          <t>0001441816-25-000057</t>
        </is>
      </c>
      <c r="G116" t="inlineStr">
        <is>
          <t>2025-03-21</t>
        </is>
      </c>
    </row>
    <row r="117">
      <c r="A117" t="inlineStr">
        <is>
          <t>deferred_revenue_current</t>
        </is>
      </c>
      <c r="B117" t="inlineStr">
        <is>
          <t>Q1 FY25</t>
        </is>
      </c>
      <c r="C117" t="inlineStr">
        <is>
          <t>2024-04-30</t>
        </is>
      </c>
      <c r="D117" t="n">
        <v>323920000</v>
      </c>
      <c r="E117" t="inlineStr">
        <is>
          <t>reported_instant</t>
        </is>
      </c>
      <c r="F117" t="inlineStr">
        <is>
          <t>0001441816-24-000111</t>
        </is>
      </c>
      <c r="G117" t="inlineStr">
        <is>
          <t>2024-05-31</t>
        </is>
      </c>
    </row>
    <row r="118">
      <c r="A118" t="inlineStr">
        <is>
          <t>deferred_revenue_current</t>
        </is>
      </c>
      <c r="B118" t="inlineStr">
        <is>
          <t>Q2 FY25</t>
        </is>
      </c>
      <c r="C118" t="inlineStr">
        <is>
          <t>2024-07-31</t>
        </is>
      </c>
      <c r="D118" t="n">
        <v>307114000</v>
      </c>
      <c r="E118" t="inlineStr">
        <is>
          <t>reported_instant</t>
        </is>
      </c>
      <c r="F118" t="inlineStr">
        <is>
          <t>0001441816-24-000188</t>
        </is>
      </c>
      <c r="G118" t="inlineStr">
        <is>
          <t>2024-08-30</t>
        </is>
      </c>
    </row>
    <row r="119">
      <c r="A119" t="inlineStr">
        <is>
          <t>deferred_revenue_current</t>
        </is>
      </c>
      <c r="B119" t="inlineStr">
        <is>
          <t>Q3 FY25</t>
        </is>
      </c>
      <c r="C119" t="inlineStr">
        <is>
          <t>2024-10-31</t>
        </is>
      </c>
      <c r="D119" t="n">
        <v>286431000</v>
      </c>
      <c r="E119" t="inlineStr">
        <is>
          <t>reported_instant</t>
        </is>
      </c>
      <c r="F119" t="inlineStr">
        <is>
          <t>0001441816-24-000260</t>
        </is>
      </c>
      <c r="G119" t="inlineStr">
        <is>
          <t>2024-12-10</t>
        </is>
      </c>
    </row>
    <row r="120">
      <c r="A120" t="inlineStr">
        <is>
          <t>deferred_revenue_current</t>
        </is>
      </c>
      <c r="B120" t="inlineStr">
        <is>
          <t>Q4 FY25</t>
        </is>
      </c>
      <c r="C120" t="inlineStr">
        <is>
          <t>2025-01-31</t>
        </is>
      </c>
      <c r="D120" t="n">
        <v>334381000</v>
      </c>
      <c r="E120" t="inlineStr">
        <is>
          <t>reported_instant</t>
        </is>
      </c>
      <c r="F120" t="inlineStr">
        <is>
          <t>0001441816-25-000181</t>
        </is>
      </c>
      <c r="G120" t="inlineStr">
        <is>
          <t>2025-08-27</t>
        </is>
      </c>
    </row>
    <row r="121">
      <c r="A121" t="inlineStr">
        <is>
          <t>deferred_revenue_current</t>
        </is>
      </c>
      <c r="B121" t="inlineStr">
        <is>
          <t>Q1 FY26</t>
        </is>
      </c>
      <c r="C121" t="inlineStr">
        <is>
          <t>2025-04-30</t>
        </is>
      </c>
      <c r="D121" t="n">
        <v>295735000</v>
      </c>
      <c r="E121" t="inlineStr">
        <is>
          <t>reported_instant</t>
        </is>
      </c>
      <c r="F121" t="inlineStr">
        <is>
          <t>0001441816-25-000118</t>
        </is>
      </c>
      <c r="G121" t="inlineStr">
        <is>
          <t>2025-06-04</t>
        </is>
      </c>
    </row>
    <row r="122">
      <c r="A122" t="inlineStr">
        <is>
          <t>deferred_revenue_current</t>
        </is>
      </c>
      <c r="B122" t="inlineStr">
        <is>
          <t>Q2 FY26</t>
        </is>
      </c>
      <c r="C122" t="inlineStr">
        <is>
          <t>2025-07-31</t>
        </is>
      </c>
      <c r="D122" t="n">
        <v>275877000</v>
      </c>
      <c r="E122" t="inlineStr">
        <is>
          <t>reported_instant</t>
        </is>
      </c>
      <c r="F122" t="inlineStr">
        <is>
          <t>0001441816-25-000181</t>
        </is>
      </c>
      <c r="G122" t="inlineStr">
        <is>
          <t>2025-08-27</t>
        </is>
      </c>
    </row>
    <row r="123">
      <c r="A123" t="inlineStr">
        <is>
          <t>deferred_revenue_noncurrent</t>
        </is>
      </c>
      <c r="B123" t="inlineStr">
        <is>
          <t>Q4 FY22</t>
        </is>
      </c>
      <c r="C123" t="inlineStr">
        <is>
          <t>2022-01-31</t>
        </is>
      </c>
      <c r="D123" t="n">
        <v>23179000</v>
      </c>
      <c r="E123" t="inlineStr">
        <is>
          <t>reported_instant</t>
        </is>
      </c>
      <c r="F123" t="inlineStr">
        <is>
          <t>0001441816-23-000027</t>
        </is>
      </c>
      <c r="G123" t="inlineStr">
        <is>
          <t>2023-03-17</t>
        </is>
      </c>
    </row>
    <row r="124">
      <c r="A124" t="inlineStr">
        <is>
          <t>deferred_revenue_noncurrent</t>
        </is>
      </c>
      <c r="B124" t="inlineStr">
        <is>
          <t>Q2 FY23</t>
        </is>
      </c>
      <c r="C124" t="inlineStr">
        <is>
          <t>2022-07-31</t>
        </is>
      </c>
      <c r="D124" t="n">
        <v>24462000</v>
      </c>
      <c r="E124" t="inlineStr">
        <is>
          <t>reported_instant</t>
        </is>
      </c>
      <c r="F124" t="inlineStr">
        <is>
          <t>0001441816-22-000164</t>
        </is>
      </c>
      <c r="G124" t="inlineStr">
        <is>
          <t>2022-09-02</t>
        </is>
      </c>
    </row>
    <row r="125">
      <c r="A125" t="inlineStr">
        <is>
          <t>deferred_revenue_noncurrent</t>
        </is>
      </c>
      <c r="B125" t="inlineStr">
        <is>
          <t>Q3 FY23</t>
        </is>
      </c>
      <c r="C125" t="inlineStr">
        <is>
          <t>2022-10-31</t>
        </is>
      </c>
      <c r="D125" t="n">
        <v>34014000</v>
      </c>
      <c r="E125" t="inlineStr">
        <is>
          <t>reported_instant</t>
        </is>
      </c>
      <c r="F125" t="inlineStr">
        <is>
          <t>0001441816-22-000193</t>
        </is>
      </c>
      <c r="G125" t="inlineStr">
        <is>
          <t>2022-12-08</t>
        </is>
      </c>
    </row>
    <row r="126">
      <c r="A126" t="inlineStr">
        <is>
          <t>deferred_revenue_noncurrent</t>
        </is>
      </c>
      <c r="B126" t="inlineStr">
        <is>
          <t>Q4 FY23</t>
        </is>
      </c>
      <c r="C126" t="inlineStr">
        <is>
          <t>2023-01-31</t>
        </is>
      </c>
      <c r="D126" t="n">
        <v>31524000</v>
      </c>
      <c r="E126" t="inlineStr">
        <is>
          <t>reported_instant</t>
        </is>
      </c>
      <c r="F126" t="inlineStr">
        <is>
          <t>0001441816-24-000049</t>
        </is>
      </c>
      <c r="G126" t="inlineStr">
        <is>
          <t>2024-03-15</t>
        </is>
      </c>
    </row>
    <row r="127">
      <c r="A127" t="inlineStr">
        <is>
          <t>deferred_revenue_noncurrent</t>
        </is>
      </c>
      <c r="B127" t="inlineStr">
        <is>
          <t>Q1 FY24</t>
        </is>
      </c>
      <c r="C127" t="inlineStr">
        <is>
          <t>2023-04-30</t>
        </is>
      </c>
      <c r="D127" t="n">
        <v>25547000</v>
      </c>
      <c r="E127" t="inlineStr">
        <is>
          <t>reported_instant</t>
        </is>
      </c>
      <c r="F127" t="inlineStr">
        <is>
          <t>0001441816-23-000087</t>
        </is>
      </c>
      <c r="G127" t="inlineStr">
        <is>
          <t>2023-06-02</t>
        </is>
      </c>
    </row>
    <row r="128">
      <c r="A128" t="inlineStr">
        <is>
          <t>deferred_revenue_noncurrent</t>
        </is>
      </c>
      <c r="B128" t="inlineStr">
        <is>
          <t>Q2 FY24</t>
        </is>
      </c>
      <c r="C128" t="inlineStr">
        <is>
          <t>2023-07-31</t>
        </is>
      </c>
      <c r="D128" t="n">
        <v>20286000</v>
      </c>
      <c r="E128" t="inlineStr">
        <is>
          <t>reported_instant</t>
        </is>
      </c>
      <c r="F128" t="inlineStr">
        <is>
          <t>0001441816-23-000168</t>
        </is>
      </c>
      <c r="G128" t="inlineStr">
        <is>
          <t>2023-09-01</t>
        </is>
      </c>
    </row>
    <row r="129">
      <c r="A129" t="inlineStr">
        <is>
          <t>deferred_revenue_noncurrent</t>
        </is>
      </c>
      <c r="B129" t="inlineStr">
        <is>
          <t>Q3 FY24</t>
        </is>
      </c>
      <c r="C129" t="inlineStr">
        <is>
          <t>2023-10-31</t>
        </is>
      </c>
      <c r="D129" t="n">
        <v>17436000</v>
      </c>
      <c r="E129" t="inlineStr">
        <is>
          <t>reported_instant</t>
        </is>
      </c>
      <c r="F129" t="inlineStr">
        <is>
          <t>0001441816-23-000248</t>
        </is>
      </c>
      <c r="G129" t="inlineStr">
        <is>
          <t>2023-12-07</t>
        </is>
      </c>
    </row>
    <row r="130">
      <c r="A130" t="inlineStr">
        <is>
          <t>deferred_revenue_noncurrent</t>
        </is>
      </c>
      <c r="B130" t="inlineStr">
        <is>
          <t>Q4 FY24</t>
        </is>
      </c>
      <c r="C130" t="inlineStr">
        <is>
          <t>2024-01-31</t>
        </is>
      </c>
      <c r="D130" t="n">
        <v>20296000</v>
      </c>
      <c r="E130" t="inlineStr">
        <is>
          <t>reported_instant</t>
        </is>
      </c>
      <c r="F130" t="inlineStr">
        <is>
          <t>0001441816-25-000057</t>
        </is>
      </c>
      <c r="G130" t="inlineStr">
        <is>
          <t>2025-03-21</t>
        </is>
      </c>
    </row>
    <row r="131">
      <c r="A131" t="inlineStr">
        <is>
          <t>deferred_revenue_noncurrent</t>
        </is>
      </c>
      <c r="B131" t="inlineStr">
        <is>
          <t>Q1 FY25</t>
        </is>
      </c>
      <c r="C131" t="inlineStr">
        <is>
          <t>2024-04-30</t>
        </is>
      </c>
      <c r="D131" t="n">
        <v>16210000</v>
      </c>
      <c r="E131" t="inlineStr">
        <is>
          <t>reported_instant</t>
        </is>
      </c>
      <c r="F131" t="inlineStr">
        <is>
          <t>0001441816-24-000111</t>
        </is>
      </c>
      <c r="G131" t="inlineStr">
        <is>
          <t>2024-05-31</t>
        </is>
      </c>
    </row>
    <row r="132">
      <c r="A132" t="inlineStr">
        <is>
          <t>deferred_revenue_noncurrent</t>
        </is>
      </c>
      <c r="B132" t="inlineStr">
        <is>
          <t>Q2 FY25</t>
        </is>
      </c>
      <c r="C132" t="inlineStr">
        <is>
          <t>2024-07-31</t>
        </is>
      </c>
      <c r="D132" t="n">
        <v>15612000</v>
      </c>
      <c r="E132" t="inlineStr">
        <is>
          <t>reported_instant</t>
        </is>
      </c>
      <c r="F132" t="inlineStr">
        <is>
          <t>0001441816-24-000188</t>
        </is>
      </c>
      <c r="G132" t="inlineStr">
        <is>
          <t>2024-08-30</t>
        </is>
      </c>
    </row>
    <row r="133">
      <c r="A133" t="inlineStr">
        <is>
          <t>deferred_revenue_noncurrent</t>
        </is>
      </c>
      <c r="B133" t="inlineStr">
        <is>
          <t>Q3 FY25</t>
        </is>
      </c>
      <c r="C133" t="inlineStr">
        <is>
          <t>2024-10-31</t>
        </is>
      </c>
      <c r="D133" t="n">
        <v>18481000</v>
      </c>
      <c r="E133" t="inlineStr">
        <is>
          <t>reported_instant</t>
        </is>
      </c>
      <c r="F133" t="inlineStr">
        <is>
          <t>0001441816-24-000260</t>
        </is>
      </c>
      <c r="G133" t="inlineStr">
        <is>
          <t>2024-12-10</t>
        </is>
      </c>
    </row>
    <row r="134">
      <c r="A134" t="inlineStr">
        <is>
          <t>deferred_revenue_noncurrent</t>
        </is>
      </c>
      <c r="B134" t="inlineStr">
        <is>
          <t>Q4 FY25</t>
        </is>
      </c>
      <c r="C134" t="inlineStr">
        <is>
          <t>2025-01-31</t>
        </is>
      </c>
      <c r="D134" t="n">
        <v>25404000</v>
      </c>
      <c r="E134" t="inlineStr">
        <is>
          <t>reported_instant</t>
        </is>
      </c>
      <c r="F134" t="inlineStr">
        <is>
          <t>0001441816-25-000181</t>
        </is>
      </c>
      <c r="G134" t="inlineStr">
        <is>
          <t>2025-08-27</t>
        </is>
      </c>
    </row>
    <row r="135">
      <c r="A135" t="inlineStr">
        <is>
          <t>deferred_revenue_noncurrent</t>
        </is>
      </c>
      <c r="B135" t="inlineStr">
        <is>
          <t>Q1 FY26</t>
        </is>
      </c>
      <c r="C135" t="inlineStr">
        <is>
          <t>2025-04-30</t>
        </is>
      </c>
      <c r="D135" t="n">
        <v>24327000</v>
      </c>
      <c r="E135" t="inlineStr">
        <is>
          <t>reported_instant</t>
        </is>
      </c>
      <c r="F135" t="inlineStr">
        <is>
          <t>0001441816-25-000118</t>
        </is>
      </c>
      <c r="G135" t="inlineStr">
        <is>
          <t>2025-06-04</t>
        </is>
      </c>
    </row>
    <row r="136">
      <c r="A136" t="inlineStr">
        <is>
          <t>deferred_revenue_noncurrent</t>
        </is>
      </c>
      <c r="B136" t="inlineStr">
        <is>
          <t>Q2 FY26</t>
        </is>
      </c>
      <c r="C136" t="inlineStr">
        <is>
          <t>2025-07-31</t>
        </is>
      </c>
      <c r="D136" t="n">
        <v>33274000</v>
      </c>
      <c r="E136" t="inlineStr">
        <is>
          <t>reported_instant</t>
        </is>
      </c>
      <c r="F136" t="inlineStr">
        <is>
          <t>0001441816-25-000181</t>
        </is>
      </c>
      <c r="G136" t="inlineStr">
        <is>
          <t>2025-08-27</t>
        </is>
      </c>
    </row>
    <row r="137">
      <c r="A137" t="inlineStr">
        <is>
          <t>gna</t>
        </is>
      </c>
      <c r="B137" t="inlineStr">
        <is>
          <t>Q4 FY22</t>
        </is>
      </c>
      <c r="C137" t="inlineStr">
        <is>
          <t>2022-01-31</t>
        </is>
      </c>
      <c r="D137" t="n">
        <v>35635000</v>
      </c>
      <c r="E137" t="inlineStr">
        <is>
          <t>fy_minus_9m</t>
        </is>
      </c>
      <c r="F137" t="inlineStr">
        <is>
          <t>0001441816-24-000049 - 0001441816-22-000193</t>
        </is>
      </c>
      <c r="G137" t="inlineStr">
        <is>
          <t>2024-03-15</t>
        </is>
      </c>
    </row>
    <row r="138">
      <c r="A138" t="inlineStr">
        <is>
          <t>gna</t>
        </is>
      </c>
      <c r="B138" t="inlineStr">
        <is>
          <t>Q1 FY23</t>
        </is>
      </c>
      <c r="C138" t="inlineStr">
        <is>
          <t>2022-04-30</t>
        </is>
      </c>
      <c r="D138" t="n">
        <v>36532000</v>
      </c>
      <c r="E138" t="inlineStr">
        <is>
          <t>reported_3m</t>
        </is>
      </c>
      <c r="F138" t="inlineStr">
        <is>
          <t>0001441816-23-000087</t>
        </is>
      </c>
      <c r="G138" t="inlineStr">
        <is>
          <t>2023-06-02</t>
        </is>
      </c>
    </row>
    <row r="139">
      <c r="A139" t="inlineStr">
        <is>
          <t>gna</t>
        </is>
      </c>
      <c r="B139" t="inlineStr">
        <is>
          <t>Q2 FY23</t>
        </is>
      </c>
      <c r="C139" t="inlineStr">
        <is>
          <t>2022-07-31</t>
        </is>
      </c>
      <c r="D139" t="n">
        <v>40591000</v>
      </c>
      <c r="E139" t="inlineStr">
        <is>
          <t>reported_3m</t>
        </is>
      </c>
      <c r="F139" t="inlineStr">
        <is>
          <t>0001441816-23-000168</t>
        </is>
      </c>
      <c r="G139" t="inlineStr">
        <is>
          <t>2023-09-01</t>
        </is>
      </c>
    </row>
    <row r="140">
      <c r="A140" t="inlineStr">
        <is>
          <t>gna</t>
        </is>
      </c>
      <c r="B140" t="inlineStr">
        <is>
          <t>Q3 FY23</t>
        </is>
      </c>
      <c r="C140" t="inlineStr">
        <is>
          <t>2022-10-31</t>
        </is>
      </c>
      <c r="D140" t="n">
        <v>39081000</v>
      </c>
      <c r="E140" t="inlineStr">
        <is>
          <t>reported_3m</t>
        </is>
      </c>
      <c r="F140" t="inlineStr">
        <is>
          <t>0001441816-23-000248</t>
        </is>
      </c>
      <c r="G140" t="inlineStr">
        <is>
          <t>2023-12-07</t>
        </is>
      </c>
    </row>
    <row r="141">
      <c r="A141" t="inlineStr">
        <is>
          <t>gna</t>
        </is>
      </c>
      <c r="B141" t="inlineStr">
        <is>
          <t>Q4 FY23</t>
        </is>
      </c>
      <c r="C141" t="inlineStr">
        <is>
          <t>2023-01-31</t>
        </is>
      </c>
      <c r="D141" t="n">
        <v>44294000</v>
      </c>
      <c r="E141" t="inlineStr">
        <is>
          <t>fy_minus_9m</t>
        </is>
      </c>
      <c r="F141" t="inlineStr">
        <is>
          <t>0001441816-25-000057 - 0001441816-23-000248</t>
        </is>
      </c>
      <c r="G141" t="inlineStr">
        <is>
          <t>2025-03-21</t>
        </is>
      </c>
    </row>
    <row r="142">
      <c r="A142" t="inlineStr">
        <is>
          <t>gna</t>
        </is>
      </c>
      <c r="B142" t="inlineStr">
        <is>
          <t>Q1 FY24</t>
        </is>
      </c>
      <c r="C142" t="inlineStr">
        <is>
          <t>2023-04-30</t>
        </is>
      </c>
      <c r="D142" t="n">
        <v>39828000</v>
      </c>
      <c r="E142" t="inlineStr">
        <is>
          <t>reported_3m</t>
        </is>
      </c>
      <c r="F142" t="inlineStr">
        <is>
          <t>0001441816-24-000111</t>
        </is>
      </c>
      <c r="G142" t="inlineStr">
        <is>
          <t>2024-05-31</t>
        </is>
      </c>
    </row>
    <row r="143">
      <c r="A143" t="inlineStr">
        <is>
          <t>gna</t>
        </is>
      </c>
      <c r="B143" t="inlineStr">
        <is>
          <t>Q2 FY24</t>
        </is>
      </c>
      <c r="C143" t="inlineStr">
        <is>
          <t>2023-07-31</t>
        </is>
      </c>
      <c r="D143" t="n">
        <v>46103000</v>
      </c>
      <c r="E143" t="inlineStr">
        <is>
          <t>reported_3m</t>
        </is>
      </c>
      <c r="F143" t="inlineStr">
        <is>
          <t>0001441816-24-000188</t>
        </is>
      </c>
      <c r="G143" t="inlineStr">
        <is>
          <t>2024-08-30</t>
        </is>
      </c>
    </row>
    <row r="144">
      <c r="A144" t="inlineStr">
        <is>
          <t>gna</t>
        </is>
      </c>
      <c r="B144" t="inlineStr">
        <is>
          <t>Q3 FY24</t>
        </is>
      </c>
      <c r="C144" t="inlineStr">
        <is>
          <t>2023-10-31</t>
        </is>
      </c>
      <c r="D144" t="n">
        <v>49969000</v>
      </c>
      <c r="E144" t="inlineStr">
        <is>
          <t>reported_3m</t>
        </is>
      </c>
      <c r="F144" t="inlineStr">
        <is>
          <t>0001441816-24-000260</t>
        </is>
      </c>
      <c r="G144" t="inlineStr">
        <is>
          <t>2024-12-10</t>
        </is>
      </c>
    </row>
    <row r="145">
      <c r="A145" t="inlineStr">
        <is>
          <t>gna</t>
        </is>
      </c>
      <c r="B145" t="inlineStr">
        <is>
          <t>Q4 FY24</t>
        </is>
      </c>
      <c r="C145" t="inlineStr">
        <is>
          <t>2024-01-31</t>
        </is>
      </c>
      <c r="D145" t="n">
        <v>57658000</v>
      </c>
      <c r="E145" t="inlineStr">
        <is>
          <t>fy_minus_9m</t>
        </is>
      </c>
      <c r="F145" t="inlineStr">
        <is>
          <t>0001441816-25-000057 - 0001441816-24-000260</t>
        </is>
      </c>
      <c r="G145" t="inlineStr">
        <is>
          <t>2025-03-21</t>
        </is>
      </c>
    </row>
    <row r="146">
      <c r="A146" t="inlineStr">
        <is>
          <t>gna</t>
        </is>
      </c>
      <c r="B146" t="inlineStr">
        <is>
          <t>Q1 FY25</t>
        </is>
      </c>
      <c r="C146" t="inlineStr">
        <is>
          <t>2024-04-30</t>
        </is>
      </c>
      <c r="D146" t="n">
        <v>60546000</v>
      </c>
      <c r="E146" t="inlineStr">
        <is>
          <t>reported_3m</t>
        </is>
      </c>
      <c r="F146" t="inlineStr">
        <is>
          <t>0001441816-25-000118</t>
        </is>
      </c>
      <c r="G146" t="inlineStr">
        <is>
          <t>2025-06-04</t>
        </is>
      </c>
    </row>
    <row r="147">
      <c r="A147" t="inlineStr">
        <is>
          <t>gna</t>
        </is>
      </c>
      <c r="B147" t="inlineStr">
        <is>
          <t>Q2 FY25</t>
        </is>
      </c>
      <c r="C147" t="inlineStr">
        <is>
          <t>2024-07-31</t>
        </is>
      </c>
      <c r="D147" t="n">
        <v>50790000</v>
      </c>
      <c r="E147" t="inlineStr">
        <is>
          <t>reported_3m</t>
        </is>
      </c>
      <c r="F147" t="inlineStr">
        <is>
          <t>0001441816-25-000181</t>
        </is>
      </c>
      <c r="G147" t="inlineStr">
        <is>
          <t>2025-08-27</t>
        </is>
      </c>
    </row>
    <row r="148">
      <c r="A148" t="inlineStr">
        <is>
          <t>gna</t>
        </is>
      </c>
      <c r="B148" t="inlineStr">
        <is>
          <t>Q3 FY25</t>
        </is>
      </c>
      <c r="C148" t="inlineStr">
        <is>
          <t>2024-10-31</t>
        </is>
      </c>
      <c r="D148" t="n">
        <v>52556000</v>
      </c>
      <c r="E148" t="inlineStr">
        <is>
          <t>reported_3m</t>
        </is>
      </c>
      <c r="F148" t="inlineStr">
        <is>
          <t>0001441816-24-000260</t>
        </is>
      </c>
      <c r="G148" t="inlineStr">
        <is>
          <t>2024-12-10</t>
        </is>
      </c>
    </row>
    <row r="149">
      <c r="A149" t="inlineStr">
        <is>
          <t>gna</t>
        </is>
      </c>
      <c r="B149" t="inlineStr">
        <is>
          <t>Q4 FY25</t>
        </is>
      </c>
      <c r="C149" t="inlineStr">
        <is>
          <t>2025-01-31</t>
        </is>
      </c>
      <c r="D149" t="n">
        <v>55334000</v>
      </c>
      <c r="E149" t="inlineStr">
        <is>
          <t>fy_minus_9m</t>
        </is>
      </c>
      <c r="F149" t="inlineStr">
        <is>
          <t>0001441816-25-000057 - 0001441816-24-000260</t>
        </is>
      </c>
      <c r="G149" t="inlineStr">
        <is>
          <t>2025-03-21</t>
        </is>
      </c>
    </row>
    <row r="150">
      <c r="A150" t="inlineStr">
        <is>
          <t>gna</t>
        </is>
      </c>
      <c r="B150" t="inlineStr">
        <is>
          <t>Q1 FY26</t>
        </is>
      </c>
      <c r="C150" t="inlineStr">
        <is>
          <t>2025-04-30</t>
        </is>
      </c>
      <c r="D150" t="n">
        <v>54775000</v>
      </c>
      <c r="E150" t="inlineStr">
        <is>
          <t>reported_3m</t>
        </is>
      </c>
      <c r="F150" t="inlineStr">
        <is>
          <t>0001441816-25-000118</t>
        </is>
      </c>
      <c r="G150" t="inlineStr">
        <is>
          <t>2025-06-04</t>
        </is>
      </c>
    </row>
    <row r="151">
      <c r="A151" t="inlineStr">
        <is>
          <t>gna</t>
        </is>
      </c>
      <c r="B151" t="inlineStr">
        <is>
          <t>Q2 FY26</t>
        </is>
      </c>
      <c r="C151" t="inlineStr">
        <is>
          <t>2025-07-31</t>
        </is>
      </c>
      <c r="D151" t="n">
        <v>59464000</v>
      </c>
      <c r="E151" t="inlineStr">
        <is>
          <t>reported_3m</t>
        </is>
      </c>
      <c r="F151" t="inlineStr">
        <is>
          <t>0001441816-25-000181</t>
        </is>
      </c>
      <c r="G151" t="inlineStr">
        <is>
          <t>2025-08-27</t>
        </is>
      </c>
    </row>
    <row r="152">
      <c r="A152" t="inlineStr">
        <is>
          <t>gross_profit</t>
        </is>
      </c>
      <c r="B152" t="inlineStr">
        <is>
          <t>Q4 FY22</t>
        </is>
      </c>
      <c r="C152" t="inlineStr">
        <is>
          <t>2022-01-31</t>
        </is>
      </c>
      <c r="D152" t="n">
        <v>190696000</v>
      </c>
      <c r="E152" t="inlineStr">
        <is>
          <t>fy_minus_9m</t>
        </is>
      </c>
      <c r="F152" t="inlineStr">
        <is>
          <t>0001441816-24-000049 - 0001441816-22-000193</t>
        </is>
      </c>
      <c r="G152" t="inlineStr">
        <is>
          <t>2024-03-15</t>
        </is>
      </c>
    </row>
    <row r="153">
      <c r="A153" t="inlineStr">
        <is>
          <t>gross_profit</t>
        </is>
      </c>
      <c r="B153" t="inlineStr">
        <is>
          <t>Q1 FY23</t>
        </is>
      </c>
      <c r="C153" t="inlineStr">
        <is>
          <t>2022-04-30</t>
        </is>
      </c>
      <c r="D153" t="n">
        <v>207232000</v>
      </c>
      <c r="E153" t="inlineStr">
        <is>
          <t>reported_3m</t>
        </is>
      </c>
      <c r="F153" t="inlineStr">
        <is>
          <t>0001441816-23-000087</t>
        </is>
      </c>
      <c r="G153" t="inlineStr">
        <is>
          <t>2023-06-02</t>
        </is>
      </c>
    </row>
    <row r="154">
      <c r="A154" t="inlineStr">
        <is>
          <t>gross_profit</t>
        </is>
      </c>
      <c r="B154" t="inlineStr">
        <is>
          <t>Q2 FY23</t>
        </is>
      </c>
      <c r="C154" t="inlineStr">
        <is>
          <t>2022-07-31</t>
        </is>
      </c>
      <c r="D154" t="n">
        <v>215383000</v>
      </c>
      <c r="E154" t="inlineStr">
        <is>
          <t>reported_3m</t>
        </is>
      </c>
      <c r="F154" t="inlineStr">
        <is>
          <t>0001441816-23-000168</t>
        </is>
      </c>
      <c r="G154" t="inlineStr">
        <is>
          <t>2023-09-01</t>
        </is>
      </c>
    </row>
    <row r="155">
      <c r="A155" t="inlineStr">
        <is>
          <t>gross_profit</t>
        </is>
      </c>
      <c r="B155" t="inlineStr">
        <is>
          <t>Q3 FY23</t>
        </is>
      </c>
      <c r="C155" t="inlineStr">
        <is>
          <t>2022-10-31</t>
        </is>
      </c>
      <c r="D155" t="n">
        <v>239969000</v>
      </c>
      <c r="E155" t="inlineStr">
        <is>
          <t>reported_3m</t>
        </is>
      </c>
      <c r="F155" t="inlineStr">
        <is>
          <t>0001441816-23-000248</t>
        </is>
      </c>
      <c r="G155" t="inlineStr">
        <is>
          <t>2023-12-07</t>
        </is>
      </c>
    </row>
    <row r="156">
      <c r="A156" t="inlineStr">
        <is>
          <t>gross_profit</t>
        </is>
      </c>
      <c r="B156" t="inlineStr">
        <is>
          <t>Q4 FY23</t>
        </is>
      </c>
      <c r="C156" t="inlineStr">
        <is>
          <t>2023-01-31</t>
        </is>
      </c>
      <c r="D156" t="n">
        <v>272152000</v>
      </c>
      <c r="E156" t="inlineStr">
        <is>
          <t>fy_minus_9m</t>
        </is>
      </c>
      <c r="F156" t="inlineStr">
        <is>
          <t>0001441816-25-000057 - 0001441816-23-000248</t>
        </is>
      </c>
      <c r="G156" t="inlineStr">
        <is>
          <t>2025-03-21</t>
        </is>
      </c>
    </row>
    <row r="157">
      <c r="A157" t="inlineStr">
        <is>
          <t>gross_profit</t>
        </is>
      </c>
      <c r="B157" t="inlineStr">
        <is>
          <t>Q1 FY24</t>
        </is>
      </c>
      <c r="C157" t="inlineStr">
        <is>
          <t>2023-04-30</t>
        </is>
      </c>
      <c r="D157" t="n">
        <v>270831000</v>
      </c>
      <c r="E157" t="inlineStr">
        <is>
          <t>reported_3m</t>
        </is>
      </c>
      <c r="F157" t="inlineStr">
        <is>
          <t>0001441816-24-000111</t>
        </is>
      </c>
      <c r="G157" t="inlineStr">
        <is>
          <t>2024-05-31</t>
        </is>
      </c>
    </row>
    <row r="158">
      <c r="A158" t="inlineStr">
        <is>
          <t>gross_profit</t>
        </is>
      </c>
      <c r="B158" t="inlineStr">
        <is>
          <t>Q2 FY24</t>
        </is>
      </c>
      <c r="C158" t="inlineStr">
        <is>
          <t>2023-07-31</t>
        </is>
      </c>
      <c r="D158" t="n">
        <v>318454000</v>
      </c>
      <c r="E158" t="inlineStr">
        <is>
          <t>reported_3m</t>
        </is>
      </c>
      <c r="F158" t="inlineStr">
        <is>
          <t>0001441816-24-000188</t>
        </is>
      </c>
      <c r="G158" t="inlineStr">
        <is>
          <t>2024-08-30</t>
        </is>
      </c>
    </row>
    <row r="159">
      <c r="A159" t="inlineStr">
        <is>
          <t>gross_profit</t>
        </is>
      </c>
      <c r="B159" t="inlineStr">
        <is>
          <t>Q3 FY24</t>
        </is>
      </c>
      <c r="C159" t="inlineStr">
        <is>
          <t>2023-10-31</t>
        </is>
      </c>
      <c r="D159" t="n">
        <v>325880000</v>
      </c>
      <c r="E159" t="inlineStr">
        <is>
          <t>reported_3m</t>
        </is>
      </c>
      <c r="F159" t="inlineStr">
        <is>
          <t>0001441816-24-000260</t>
        </is>
      </c>
      <c r="G159" t="inlineStr">
        <is>
          <t>2024-12-10</t>
        </is>
      </c>
    </row>
    <row r="160">
      <c r="A160" t="inlineStr">
        <is>
          <t>gross_profit</t>
        </is>
      </c>
      <c r="B160" t="inlineStr">
        <is>
          <t>Q4 FY24</t>
        </is>
      </c>
      <c r="C160" t="inlineStr">
        <is>
          <t>2024-01-31</t>
        </is>
      </c>
      <c r="D160" t="n">
        <v>343361000</v>
      </c>
      <c r="E160" t="inlineStr">
        <is>
          <t>fy_minus_9m</t>
        </is>
      </c>
      <c r="F160" t="inlineStr">
        <is>
          <t>0001441816-25-000057 - 0001441816-24-000260</t>
        </is>
      </c>
      <c r="G160" t="inlineStr">
        <is>
          <t>2025-03-21</t>
        </is>
      </c>
    </row>
    <row r="161">
      <c r="A161" t="inlineStr">
        <is>
          <t>gross_profit</t>
        </is>
      </c>
      <c r="B161" t="inlineStr">
        <is>
          <t>Q1 FY25</t>
        </is>
      </c>
      <c r="C161" t="inlineStr">
        <is>
          <t>2024-04-30</t>
        </is>
      </c>
      <c r="D161" t="n">
        <v>327864000</v>
      </c>
      <c r="E161" t="inlineStr">
        <is>
          <t>reported_3m</t>
        </is>
      </c>
      <c r="F161" t="inlineStr">
        <is>
          <t>0001441816-25-000118</t>
        </is>
      </c>
      <c r="G161" t="inlineStr">
        <is>
          <t>2025-06-04</t>
        </is>
      </c>
    </row>
    <row r="162">
      <c r="A162" t="inlineStr">
        <is>
          <t>gross_profit</t>
        </is>
      </c>
      <c r="B162" t="inlineStr">
        <is>
          <t>Q2 FY25</t>
        </is>
      </c>
      <c r="C162" t="inlineStr">
        <is>
          <t>2024-07-31</t>
        </is>
      </c>
      <c r="D162" t="n">
        <v>349856000</v>
      </c>
      <c r="E162" t="inlineStr">
        <is>
          <t>reported_3m</t>
        </is>
      </c>
      <c r="F162" t="inlineStr">
        <is>
          <t>0001441816-25-000181</t>
        </is>
      </c>
      <c r="G162" t="inlineStr">
        <is>
          <t>2025-08-27</t>
        </is>
      </c>
    </row>
    <row r="163">
      <c r="A163" t="inlineStr">
        <is>
          <t>gross_profit</t>
        </is>
      </c>
      <c r="B163" t="inlineStr">
        <is>
          <t>Q3 FY25</t>
        </is>
      </c>
      <c r="C163" t="inlineStr">
        <is>
          <t>2024-10-31</t>
        </is>
      </c>
      <c r="D163" t="n">
        <v>394044000</v>
      </c>
      <c r="E163" t="inlineStr">
        <is>
          <t>reported_3m</t>
        </is>
      </c>
      <c r="F163" t="inlineStr">
        <is>
          <t>0001441816-24-000260</t>
        </is>
      </c>
      <c r="G163" t="inlineStr">
        <is>
          <t>2024-12-10</t>
        </is>
      </c>
    </row>
    <row r="164">
      <c r="A164" t="inlineStr">
        <is>
          <t>gross_profit</t>
        </is>
      </c>
      <c r="B164" t="inlineStr">
        <is>
          <t>Q4 FY25</t>
        </is>
      </c>
      <c r="C164" t="inlineStr">
        <is>
          <t>2025-01-31</t>
        </is>
      </c>
      <c r="D164" t="n">
        <v>399383000</v>
      </c>
      <c r="E164" t="inlineStr">
        <is>
          <t>fy_minus_9m</t>
        </is>
      </c>
      <c r="F164" t="inlineStr">
        <is>
          <t>0001441816-25-000057 - 0001441816-24-000260</t>
        </is>
      </c>
      <c r="G164" t="inlineStr">
        <is>
          <t>2025-03-21</t>
        </is>
      </c>
    </row>
    <row r="165">
      <c r="A165" t="inlineStr">
        <is>
          <t>gross_profit</t>
        </is>
      </c>
      <c r="B165" t="inlineStr">
        <is>
          <t>Q1 FY26</t>
        </is>
      </c>
      <c r="C165" t="inlineStr">
        <is>
          <t>2025-04-30</t>
        </is>
      </c>
      <c r="D165" t="n">
        <v>390973000</v>
      </c>
      <c r="E165" t="inlineStr">
        <is>
          <t>reported_3m</t>
        </is>
      </c>
      <c r="F165" t="inlineStr">
        <is>
          <t>0001441816-25-000118</t>
        </is>
      </c>
      <c r="G165" t="inlineStr">
        <is>
          <t>2025-06-04</t>
        </is>
      </c>
    </row>
    <row r="166">
      <c r="A166" t="inlineStr">
        <is>
          <t>gross_profit</t>
        </is>
      </c>
      <c r="B166" t="inlineStr">
        <is>
          <t>Q2 FY26</t>
        </is>
      </c>
      <c r="C166" t="inlineStr">
        <is>
          <t>2025-07-31</t>
        </is>
      </c>
      <c r="D166" t="n">
        <v>419974000</v>
      </c>
      <c r="E166" t="inlineStr">
        <is>
          <t>reported_3m</t>
        </is>
      </c>
      <c r="F166" t="inlineStr">
        <is>
          <t>0001441816-25-000181</t>
        </is>
      </c>
      <c r="G166" t="inlineStr">
        <is>
          <t>2025-08-27</t>
        </is>
      </c>
    </row>
    <row r="167">
      <c r="A167" t="inlineStr">
        <is>
          <t>net_income</t>
        </is>
      </c>
      <c r="B167" t="inlineStr">
        <is>
          <t>Q4 FY22</t>
        </is>
      </c>
      <c r="C167" t="inlineStr">
        <is>
          <t>2022-01-31</t>
        </is>
      </c>
      <c r="D167" t="n">
        <v>-84448000</v>
      </c>
      <c r="E167" t="inlineStr">
        <is>
          <t>fy_minus_9m</t>
        </is>
      </c>
      <c r="F167" t="inlineStr">
        <is>
          <t>0001441816-24-000049 - 0001441816-22-000193</t>
        </is>
      </c>
      <c r="G167" t="inlineStr">
        <is>
          <t>2024-03-15</t>
        </is>
      </c>
    </row>
    <row r="168">
      <c r="A168" t="inlineStr">
        <is>
          <t>net_income</t>
        </is>
      </c>
      <c r="B168" t="inlineStr">
        <is>
          <t>Q1 FY23</t>
        </is>
      </c>
      <c r="C168" t="inlineStr">
        <is>
          <t>2022-04-30</t>
        </is>
      </c>
      <c r="D168" t="n">
        <v>-77294000</v>
      </c>
      <c r="E168" t="inlineStr">
        <is>
          <t>reported_3m</t>
        </is>
      </c>
      <c r="F168" t="inlineStr">
        <is>
          <t>0001441816-23-000087</t>
        </is>
      </c>
      <c r="G168" t="inlineStr">
        <is>
          <t>2023-06-02</t>
        </is>
      </c>
    </row>
    <row r="169">
      <c r="A169" t="inlineStr">
        <is>
          <t>net_income</t>
        </is>
      </c>
      <c r="B169" t="inlineStr">
        <is>
          <t>Q2 FY23</t>
        </is>
      </c>
      <c r="C169" t="inlineStr">
        <is>
          <t>2022-07-31</t>
        </is>
      </c>
      <c r="D169" t="n">
        <v>-118865000</v>
      </c>
      <c r="E169" t="inlineStr">
        <is>
          <t>reported_3m</t>
        </is>
      </c>
      <c r="F169" t="inlineStr">
        <is>
          <t>0001441816-23-000168</t>
        </is>
      </c>
      <c r="G169" t="inlineStr">
        <is>
          <t>2023-09-01</t>
        </is>
      </c>
    </row>
    <row r="170">
      <c r="A170" t="inlineStr">
        <is>
          <t>net_income</t>
        </is>
      </c>
      <c r="B170" t="inlineStr">
        <is>
          <t>Q3 FY23</t>
        </is>
      </c>
      <c r="C170" t="inlineStr">
        <is>
          <t>2022-10-31</t>
        </is>
      </c>
      <c r="D170" t="n">
        <v>-84841000</v>
      </c>
      <c r="E170" t="inlineStr">
        <is>
          <t>reported_3m</t>
        </is>
      </c>
      <c r="F170" t="inlineStr">
        <is>
          <t>0001441816-23-000248</t>
        </is>
      </c>
      <c r="G170" t="inlineStr">
        <is>
          <t>2023-12-07</t>
        </is>
      </c>
    </row>
    <row r="171">
      <c r="A171" t="inlineStr">
        <is>
          <t>net_income</t>
        </is>
      </c>
      <c r="B171" t="inlineStr">
        <is>
          <t>Q4 FY23</t>
        </is>
      </c>
      <c r="C171" t="inlineStr">
        <is>
          <t>2023-01-31</t>
        </is>
      </c>
      <c r="D171" t="n">
        <v>-64398000</v>
      </c>
      <c r="E171" t="inlineStr">
        <is>
          <t>fy_minus_9m</t>
        </is>
      </c>
      <c r="F171" t="inlineStr">
        <is>
          <t>0001441816-25-000057 - 0001441816-23-000248</t>
        </is>
      </c>
      <c r="G171" t="inlineStr">
        <is>
          <t>2025-03-21</t>
        </is>
      </c>
    </row>
    <row r="172">
      <c r="A172" t="inlineStr">
        <is>
          <t>net_income</t>
        </is>
      </c>
      <c r="B172" t="inlineStr">
        <is>
          <t>Q1 FY24</t>
        </is>
      </c>
      <c r="C172" t="inlineStr">
        <is>
          <t>2023-04-30</t>
        </is>
      </c>
      <c r="D172" t="n">
        <v>-54246000</v>
      </c>
      <c r="E172" t="inlineStr">
        <is>
          <t>reported_3m</t>
        </is>
      </c>
      <c r="F172" t="inlineStr">
        <is>
          <t>0001441816-24-000111</t>
        </is>
      </c>
      <c r="G172" t="inlineStr">
        <is>
          <t>2024-05-31</t>
        </is>
      </c>
    </row>
    <row r="173">
      <c r="A173" t="inlineStr">
        <is>
          <t>net_income</t>
        </is>
      </c>
      <c r="B173" t="inlineStr">
        <is>
          <t>Q2 FY24</t>
        </is>
      </c>
      <c r="C173" t="inlineStr">
        <is>
          <t>2023-07-31</t>
        </is>
      </c>
      <c r="D173" t="n">
        <v>-37597000</v>
      </c>
      <c r="E173" t="inlineStr">
        <is>
          <t>reported_3m</t>
        </is>
      </c>
      <c r="F173" t="inlineStr">
        <is>
          <t>0001441816-24-000188</t>
        </is>
      </c>
      <c r="G173" t="inlineStr">
        <is>
          <t>2024-08-30</t>
        </is>
      </c>
    </row>
    <row r="174">
      <c r="A174" t="inlineStr">
        <is>
          <t>net_income</t>
        </is>
      </c>
      <c r="B174" t="inlineStr">
        <is>
          <t>Q3 FY24</t>
        </is>
      </c>
      <c r="C174" t="inlineStr">
        <is>
          <t>2023-10-31</t>
        </is>
      </c>
      <c r="D174" t="n">
        <v>-29297000</v>
      </c>
      <c r="E174" t="inlineStr">
        <is>
          <t>reported_3m</t>
        </is>
      </c>
      <c r="F174" t="inlineStr">
        <is>
          <t>0001441816-24-000260</t>
        </is>
      </c>
      <c r="G174" t="inlineStr">
        <is>
          <t>2024-12-10</t>
        </is>
      </c>
    </row>
    <row r="175">
      <c r="A175" t="inlineStr">
        <is>
          <t>net_income</t>
        </is>
      </c>
      <c r="B175" t="inlineStr">
        <is>
          <t>Q4 FY24</t>
        </is>
      </c>
      <c r="C175" t="inlineStr">
        <is>
          <t>2024-01-31</t>
        </is>
      </c>
      <c r="D175" t="n">
        <v>-55460000</v>
      </c>
      <c r="E175" t="inlineStr">
        <is>
          <t>fy_minus_9m</t>
        </is>
      </c>
      <c r="F175" t="inlineStr">
        <is>
          <t>0001441816-25-000057 - 0001441816-24-000260</t>
        </is>
      </c>
      <c r="G175" t="inlineStr">
        <is>
          <t>2025-03-21</t>
        </is>
      </c>
    </row>
    <row r="176">
      <c r="A176" t="inlineStr">
        <is>
          <t>net_income</t>
        </is>
      </c>
      <c r="B176" t="inlineStr">
        <is>
          <t>Q1 FY25</t>
        </is>
      </c>
      <c r="C176" t="inlineStr">
        <is>
          <t>2024-04-30</t>
        </is>
      </c>
      <c r="D176" t="n">
        <v>-80593000</v>
      </c>
      <c r="E176" t="inlineStr">
        <is>
          <t>reported_3m</t>
        </is>
      </c>
      <c r="F176" t="inlineStr">
        <is>
          <t>0001441816-25-000118</t>
        </is>
      </c>
      <c r="G176" t="inlineStr">
        <is>
          <t>2025-06-04</t>
        </is>
      </c>
    </row>
    <row r="177">
      <c r="A177" t="inlineStr">
        <is>
          <t>net_income</t>
        </is>
      </c>
      <c r="B177" t="inlineStr">
        <is>
          <t>Q2 FY25</t>
        </is>
      </c>
      <c r="C177" t="inlineStr">
        <is>
          <t>2024-07-31</t>
        </is>
      </c>
      <c r="D177" t="n">
        <v>-54529000</v>
      </c>
      <c r="E177" t="inlineStr">
        <is>
          <t>reported_3m</t>
        </is>
      </c>
      <c r="F177" t="inlineStr">
        <is>
          <t>0001441816-25-000181</t>
        </is>
      </c>
      <c r="G177" t="inlineStr">
        <is>
          <t>2025-08-27</t>
        </is>
      </c>
    </row>
    <row r="178">
      <c r="A178" t="inlineStr">
        <is>
          <t>net_income</t>
        </is>
      </c>
      <c r="B178" t="inlineStr">
        <is>
          <t>Q3 FY25</t>
        </is>
      </c>
      <c r="C178" t="inlineStr">
        <is>
          <t>2024-10-31</t>
        </is>
      </c>
      <c r="D178" t="n">
        <v>-9776000</v>
      </c>
      <c r="E178" t="inlineStr">
        <is>
          <t>reported_3m</t>
        </is>
      </c>
      <c r="F178" t="inlineStr">
        <is>
          <t>0001441816-24-000260</t>
        </is>
      </c>
      <c r="G178" t="inlineStr">
        <is>
          <t>2024-12-10</t>
        </is>
      </c>
    </row>
    <row r="179">
      <c r="A179" t="inlineStr">
        <is>
          <t>net_income</t>
        </is>
      </c>
      <c r="B179" t="inlineStr">
        <is>
          <t>Q4 FY25</t>
        </is>
      </c>
      <c r="C179" t="inlineStr">
        <is>
          <t>2025-01-31</t>
        </is>
      </c>
      <c r="D179" t="n">
        <v>15826000</v>
      </c>
      <c r="E179" t="inlineStr">
        <is>
          <t>fy_minus_9m</t>
        </is>
      </c>
      <c r="F179" t="inlineStr">
        <is>
          <t>0001441816-25-000057 - 0001441816-24-000260</t>
        </is>
      </c>
      <c r="G179" t="inlineStr">
        <is>
          <t>2025-03-21</t>
        </is>
      </c>
    </row>
    <row r="180">
      <c r="A180" t="inlineStr">
        <is>
          <t>net_income</t>
        </is>
      </c>
      <c r="B180" t="inlineStr">
        <is>
          <t>Q1 FY26</t>
        </is>
      </c>
      <c r="C180" t="inlineStr">
        <is>
          <t>2025-04-30</t>
        </is>
      </c>
      <c r="D180" t="n">
        <v>-37626000</v>
      </c>
      <c r="E180" t="inlineStr">
        <is>
          <t>reported_3m</t>
        </is>
      </c>
      <c r="F180" t="inlineStr">
        <is>
          <t>0001441816-25-000181</t>
        </is>
      </c>
      <c r="G180" t="inlineStr">
        <is>
          <t>2025-08-27</t>
        </is>
      </c>
    </row>
    <row r="181">
      <c r="A181" t="inlineStr">
        <is>
          <t>net_income</t>
        </is>
      </c>
      <c r="B181" t="inlineStr">
        <is>
          <t>Q2 FY26</t>
        </is>
      </c>
      <c r="C181" t="inlineStr">
        <is>
          <t>2025-07-31</t>
        </is>
      </c>
      <c r="D181" t="n">
        <v>-47048000</v>
      </c>
      <c r="E181" t="inlineStr">
        <is>
          <t>reported_3m</t>
        </is>
      </c>
      <c r="F181" t="inlineStr">
        <is>
          <t>0001441816-25-000181</t>
        </is>
      </c>
      <c r="G181" t="inlineStr">
        <is>
          <t>2025-08-27</t>
        </is>
      </c>
    </row>
    <row r="182">
      <c r="A182" t="inlineStr">
        <is>
          <t>operating_income</t>
        </is>
      </c>
      <c r="B182" t="inlineStr">
        <is>
          <t>Q4 FY22</t>
        </is>
      </c>
      <c r="C182" t="inlineStr">
        <is>
          <t>2022-01-31</t>
        </is>
      </c>
      <c r="D182" t="n">
        <v>-78619000</v>
      </c>
      <c r="E182" t="inlineStr">
        <is>
          <t>fy_minus_9m</t>
        </is>
      </c>
      <c r="F182" t="inlineStr">
        <is>
          <t>0001441816-24-000049 - 0001441816-22-000193</t>
        </is>
      </c>
      <c r="G182" t="inlineStr">
        <is>
          <t>2024-03-15</t>
        </is>
      </c>
    </row>
    <row r="183">
      <c r="A183" t="inlineStr">
        <is>
          <t>operating_income</t>
        </is>
      </c>
      <c r="B183" t="inlineStr">
        <is>
          <t>Q1 FY23</t>
        </is>
      </c>
      <c r="C183" t="inlineStr">
        <is>
          <t>2022-04-30</t>
        </is>
      </c>
      <c r="D183" t="n">
        <v>-75940000</v>
      </c>
      <c r="E183" t="inlineStr">
        <is>
          <t>reported_3m</t>
        </is>
      </c>
      <c r="F183" t="inlineStr">
        <is>
          <t>0001441816-23-000087</t>
        </is>
      </c>
      <c r="G183" t="inlineStr">
        <is>
          <t>2023-06-02</t>
        </is>
      </c>
    </row>
    <row r="184">
      <c r="A184" t="inlineStr">
        <is>
          <t>operating_income</t>
        </is>
      </c>
      <c r="B184" t="inlineStr">
        <is>
          <t>Q2 FY23</t>
        </is>
      </c>
      <c r="C184" t="inlineStr">
        <is>
          <t>2022-07-31</t>
        </is>
      </c>
      <c r="D184" t="n">
        <v>-114843000</v>
      </c>
      <c r="E184" t="inlineStr">
        <is>
          <t>reported_3m</t>
        </is>
      </c>
      <c r="F184" t="inlineStr">
        <is>
          <t>0001441816-23-000168</t>
        </is>
      </c>
      <c r="G184" t="inlineStr">
        <is>
          <t>2023-09-01</t>
        </is>
      </c>
    </row>
    <row r="185">
      <c r="A185" t="inlineStr">
        <is>
          <t>operating_income</t>
        </is>
      </c>
      <c r="B185" t="inlineStr">
        <is>
          <t>Q3 FY23</t>
        </is>
      </c>
      <c r="C185" t="inlineStr">
        <is>
          <t>2022-10-31</t>
        </is>
      </c>
      <c r="D185" t="n">
        <v>-82923000</v>
      </c>
      <c r="E185" t="inlineStr">
        <is>
          <t>reported_3m</t>
        </is>
      </c>
      <c r="F185" t="inlineStr">
        <is>
          <t>0001441816-23-000248</t>
        </is>
      </c>
      <c r="G185" t="inlineStr">
        <is>
          <t>2023-12-07</t>
        </is>
      </c>
    </row>
    <row r="186">
      <c r="A186" t="inlineStr">
        <is>
          <t>operating_income</t>
        </is>
      </c>
      <c r="B186" t="inlineStr">
        <is>
          <t>Q4 FY23</t>
        </is>
      </c>
      <c r="C186" t="inlineStr">
        <is>
          <t>2023-01-31</t>
        </is>
      </c>
      <c r="D186" t="n">
        <v>-72949000</v>
      </c>
      <c r="E186" t="inlineStr">
        <is>
          <t>fy_minus_9m</t>
        </is>
      </c>
      <c r="F186" t="inlineStr">
        <is>
          <t>0001441816-25-000057 - 0001441816-23-000248</t>
        </is>
      </c>
      <c r="G186" t="inlineStr">
        <is>
          <t>2025-03-21</t>
        </is>
      </c>
    </row>
    <row r="187">
      <c r="A187" t="inlineStr">
        <is>
          <t>operating_income</t>
        </is>
      </c>
      <c r="B187" t="inlineStr">
        <is>
          <t>Q1 FY24</t>
        </is>
      </c>
      <c r="C187" t="inlineStr">
        <is>
          <t>2023-04-30</t>
        </is>
      </c>
      <c r="D187" t="n">
        <v>-68547000</v>
      </c>
      <c r="E187" t="inlineStr">
        <is>
          <t>reported_3m</t>
        </is>
      </c>
      <c r="F187" t="inlineStr">
        <is>
          <t>0001441816-24-000111</t>
        </is>
      </c>
      <c r="G187" t="inlineStr">
        <is>
          <t>2024-05-31</t>
        </is>
      </c>
    </row>
    <row r="188">
      <c r="A188" t="inlineStr">
        <is>
          <t>operating_income</t>
        </is>
      </c>
      <c r="B188" t="inlineStr">
        <is>
          <t>Q2 FY24</t>
        </is>
      </c>
      <c r="C188" t="inlineStr">
        <is>
          <t>2023-07-31</t>
        </is>
      </c>
      <c r="D188" t="n">
        <v>-49003000</v>
      </c>
      <c r="E188" t="inlineStr">
        <is>
          <t>reported_3m</t>
        </is>
      </c>
      <c r="F188" t="inlineStr">
        <is>
          <t>0001441816-24-000188</t>
        </is>
      </c>
      <c r="G188" t="inlineStr">
        <is>
          <t>2024-08-30</t>
        </is>
      </c>
    </row>
    <row r="189">
      <c r="A189" t="inlineStr">
        <is>
          <t>operating_income</t>
        </is>
      </c>
      <c r="B189" t="inlineStr">
        <is>
          <t>Q3 FY24</t>
        </is>
      </c>
      <c r="C189" t="inlineStr">
        <is>
          <t>2023-10-31</t>
        </is>
      </c>
      <c r="D189" t="n">
        <v>-45216000</v>
      </c>
      <c r="E189" t="inlineStr">
        <is>
          <t>reported_3m</t>
        </is>
      </c>
      <c r="F189" t="inlineStr">
        <is>
          <t>0001441816-24-000260</t>
        </is>
      </c>
      <c r="G189" t="inlineStr">
        <is>
          <t>2024-12-10</t>
        </is>
      </c>
    </row>
    <row r="190">
      <c r="A190" t="inlineStr">
        <is>
          <t>operating_income</t>
        </is>
      </c>
      <c r="B190" t="inlineStr">
        <is>
          <t>Q4 FY24</t>
        </is>
      </c>
      <c r="C190" t="inlineStr">
        <is>
          <t>2024-01-31</t>
        </is>
      </c>
      <c r="D190" t="n">
        <v>-70966000</v>
      </c>
      <c r="E190" t="inlineStr">
        <is>
          <t>fy_minus_9m</t>
        </is>
      </c>
      <c r="F190" t="inlineStr">
        <is>
          <t>0001441816-25-000057 - 0001441816-24-000260</t>
        </is>
      </c>
      <c r="G190" t="inlineStr">
        <is>
          <t>2025-03-21</t>
        </is>
      </c>
    </row>
    <row r="191">
      <c r="A191" t="inlineStr">
        <is>
          <t>operating_income</t>
        </is>
      </c>
      <c r="B191" t="inlineStr">
        <is>
          <t>Q1 FY25</t>
        </is>
      </c>
      <c r="C191" t="inlineStr">
        <is>
          <t>2024-04-30</t>
        </is>
      </c>
      <c r="D191" t="n">
        <v>-98186000</v>
      </c>
      <c r="E191" t="inlineStr">
        <is>
          <t>reported_3m</t>
        </is>
      </c>
      <c r="F191" t="inlineStr">
        <is>
          <t>0001441816-25-000118</t>
        </is>
      </c>
      <c r="G191" t="inlineStr">
        <is>
          <t>2025-06-04</t>
        </is>
      </c>
    </row>
    <row r="192">
      <c r="A192" t="inlineStr">
        <is>
          <t>operating_income</t>
        </is>
      </c>
      <c r="B192" t="inlineStr">
        <is>
          <t>Q2 FY25</t>
        </is>
      </c>
      <c r="C192" t="inlineStr">
        <is>
          <t>2024-07-31</t>
        </is>
      </c>
      <c r="D192" t="n">
        <v>-71440000</v>
      </c>
      <c r="E192" t="inlineStr">
        <is>
          <t>reported_3m</t>
        </is>
      </c>
      <c r="F192" t="inlineStr">
        <is>
          <t>0001441816-25-000181</t>
        </is>
      </c>
      <c r="G192" t="inlineStr">
        <is>
          <t>2025-08-27</t>
        </is>
      </c>
    </row>
    <row r="193">
      <c r="A193" t="inlineStr">
        <is>
          <t>operating_income</t>
        </is>
      </c>
      <c r="B193" t="inlineStr">
        <is>
          <t>Q3 FY25</t>
        </is>
      </c>
      <c r="C193" t="inlineStr">
        <is>
          <t>2024-10-31</t>
        </is>
      </c>
      <c r="D193" t="n">
        <v>-27876000</v>
      </c>
      <c r="E193" t="inlineStr">
        <is>
          <t>reported_3m</t>
        </is>
      </c>
      <c r="F193" t="inlineStr">
        <is>
          <t>0001441816-24-000260</t>
        </is>
      </c>
      <c r="G193" t="inlineStr">
        <is>
          <t>2024-12-10</t>
        </is>
      </c>
    </row>
    <row r="194">
      <c r="A194" t="inlineStr">
        <is>
          <t>operating_income</t>
        </is>
      </c>
      <c r="B194" t="inlineStr">
        <is>
          <t>Q4 FY25</t>
        </is>
      </c>
      <c r="C194" t="inlineStr">
        <is>
          <t>2025-01-31</t>
        </is>
      </c>
      <c r="D194" t="n">
        <v>-18562000</v>
      </c>
      <c r="E194" t="inlineStr">
        <is>
          <t>fy_minus_9m</t>
        </is>
      </c>
      <c r="F194" t="inlineStr">
        <is>
          <t>0001441816-25-000057 - 0001441816-24-000260</t>
        </is>
      </c>
      <c r="G194" t="inlineStr">
        <is>
          <t>2025-03-21</t>
        </is>
      </c>
    </row>
    <row r="195">
      <c r="A195" t="inlineStr">
        <is>
          <t>operating_income</t>
        </is>
      </c>
      <c r="B195" t="inlineStr">
        <is>
          <t>Q1 FY26</t>
        </is>
      </c>
      <c r="C195" t="inlineStr">
        <is>
          <t>2025-04-30</t>
        </is>
      </c>
      <c r="D195" t="n">
        <v>-53554000</v>
      </c>
      <c r="E195" t="inlineStr">
        <is>
          <t>reported_3m</t>
        </is>
      </c>
      <c r="F195" t="inlineStr">
        <is>
          <t>0001441816-25-000118</t>
        </is>
      </c>
      <c r="G195" t="inlineStr">
        <is>
          <t>2025-06-04</t>
        </is>
      </c>
    </row>
    <row r="196">
      <c r="A196" t="inlineStr">
        <is>
          <t>operating_income</t>
        </is>
      </c>
      <c r="B196" t="inlineStr">
        <is>
          <t>Q2 FY26</t>
        </is>
      </c>
      <c r="C196" t="inlineStr">
        <is>
          <t>2025-07-31</t>
        </is>
      </c>
      <c r="D196" t="n">
        <v>-65294000</v>
      </c>
      <c r="E196" t="inlineStr">
        <is>
          <t>reported_3m</t>
        </is>
      </c>
      <c r="F196" t="inlineStr">
        <is>
          <t>0001441816-25-000181</t>
        </is>
      </c>
      <c r="G196" t="inlineStr">
        <is>
          <t>2025-08-27</t>
        </is>
      </c>
    </row>
    <row r="197">
      <c r="A197" t="inlineStr">
        <is>
          <t>opex_total</t>
        </is>
      </c>
      <c r="B197" t="inlineStr">
        <is>
          <t>Q4 FY22</t>
        </is>
      </c>
      <c r="C197" t="inlineStr">
        <is>
          <t>2022-01-31</t>
        </is>
      </c>
      <c r="D197" t="n">
        <v>269315000</v>
      </c>
      <c r="E197" t="inlineStr">
        <is>
          <t>fy_minus_9m</t>
        </is>
      </c>
      <c r="F197" t="inlineStr">
        <is>
          <t>0001441816-24-000049 - 0001441816-22-000193</t>
        </is>
      </c>
      <c r="G197" t="inlineStr">
        <is>
          <t>2024-03-15</t>
        </is>
      </c>
    </row>
    <row r="198">
      <c r="A198" t="inlineStr">
        <is>
          <t>opex_total</t>
        </is>
      </c>
      <c r="B198" t="inlineStr">
        <is>
          <t>Q1 FY23</t>
        </is>
      </c>
      <c r="C198" t="inlineStr">
        <is>
          <t>2022-04-30</t>
        </is>
      </c>
      <c r="D198" t="n">
        <v>283172000</v>
      </c>
      <c r="E198" t="inlineStr">
        <is>
          <t>reported_3m</t>
        </is>
      </c>
      <c r="F198" t="inlineStr">
        <is>
          <t>0001441816-23-000087</t>
        </is>
      </c>
      <c r="G198" t="inlineStr">
        <is>
          <t>2023-06-02</t>
        </is>
      </c>
    </row>
    <row r="199">
      <c r="A199" t="inlineStr">
        <is>
          <t>opex_total</t>
        </is>
      </c>
      <c r="B199" t="inlineStr">
        <is>
          <t>Q2 FY23</t>
        </is>
      </c>
      <c r="C199" t="inlineStr">
        <is>
          <t>2022-07-31</t>
        </is>
      </c>
      <c r="D199" t="n">
        <v>330226000</v>
      </c>
      <c r="E199" t="inlineStr">
        <is>
          <t>reported_3m</t>
        </is>
      </c>
      <c r="F199" t="inlineStr">
        <is>
          <t>0001441816-23-000168</t>
        </is>
      </c>
      <c r="G199" t="inlineStr">
        <is>
          <t>2023-09-01</t>
        </is>
      </c>
    </row>
    <row r="200">
      <c r="A200" t="inlineStr">
        <is>
          <t>opex_total</t>
        </is>
      </c>
      <c r="B200" t="inlineStr">
        <is>
          <t>Q3 FY23</t>
        </is>
      </c>
      <c r="C200" t="inlineStr">
        <is>
          <t>2022-10-31</t>
        </is>
      </c>
      <c r="D200" t="n">
        <v>322892000</v>
      </c>
      <c r="E200" t="inlineStr">
        <is>
          <t>reported_3m</t>
        </is>
      </c>
      <c r="F200" t="inlineStr">
        <is>
          <t>0001441816-23-000248</t>
        </is>
      </c>
      <c r="G200" t="inlineStr">
        <is>
          <t>2023-12-07</t>
        </is>
      </c>
    </row>
    <row r="201">
      <c r="A201" t="inlineStr">
        <is>
          <t>opex_total</t>
        </is>
      </c>
      <c r="B201" t="inlineStr">
        <is>
          <t>Q4 FY23</t>
        </is>
      </c>
      <c r="C201" t="inlineStr">
        <is>
          <t>2023-01-31</t>
        </is>
      </c>
      <c r="D201" t="n">
        <v>345101000</v>
      </c>
      <c r="E201" t="inlineStr">
        <is>
          <t>fy_minus_9m</t>
        </is>
      </c>
      <c r="F201" t="inlineStr">
        <is>
          <t>0001441816-25-000057 - 0001441816-23-000248</t>
        </is>
      </c>
      <c r="G201" t="inlineStr">
        <is>
          <t>2025-03-21</t>
        </is>
      </c>
    </row>
    <row r="202">
      <c r="A202" t="inlineStr">
        <is>
          <t>opex_total</t>
        </is>
      </c>
      <c r="B202" t="inlineStr">
        <is>
          <t>Q1 FY24</t>
        </is>
      </c>
      <c r="C202" t="inlineStr">
        <is>
          <t>2023-04-30</t>
        </is>
      </c>
      <c r="D202" t="n">
        <v>339378000</v>
      </c>
      <c r="E202" t="inlineStr">
        <is>
          <t>reported_3m</t>
        </is>
      </c>
      <c r="F202" t="inlineStr">
        <is>
          <t>0001441816-24-000111</t>
        </is>
      </c>
      <c r="G202" t="inlineStr">
        <is>
          <t>2024-05-31</t>
        </is>
      </c>
    </row>
    <row r="203">
      <c r="A203" t="inlineStr">
        <is>
          <t>opex_total</t>
        </is>
      </c>
      <c r="B203" t="inlineStr">
        <is>
          <t>Q2 FY24</t>
        </is>
      </c>
      <c r="C203" t="inlineStr">
        <is>
          <t>2023-07-31</t>
        </is>
      </c>
      <c r="D203" t="n">
        <v>367457000</v>
      </c>
      <c r="E203" t="inlineStr">
        <is>
          <t>reported_3m</t>
        </is>
      </c>
      <c r="F203" t="inlineStr">
        <is>
          <t>0001441816-24-000188</t>
        </is>
      </c>
      <c r="G203" t="inlineStr">
        <is>
          <t>2024-08-30</t>
        </is>
      </c>
    </row>
    <row r="204">
      <c r="A204" t="inlineStr">
        <is>
          <t>opex_total</t>
        </is>
      </c>
      <c r="B204" t="inlineStr">
        <is>
          <t>Q3 FY24</t>
        </is>
      </c>
      <c r="C204" t="inlineStr">
        <is>
          <t>2023-10-31</t>
        </is>
      </c>
      <c r="D204" t="n">
        <v>371096000</v>
      </c>
      <c r="E204" t="inlineStr">
        <is>
          <t>reported_3m</t>
        </is>
      </c>
      <c r="F204" t="inlineStr">
        <is>
          <t>0001441816-24-000260</t>
        </is>
      </c>
      <c r="G204" t="inlineStr">
        <is>
          <t>2024-12-10</t>
        </is>
      </c>
    </row>
    <row r="205">
      <c r="A205" t="inlineStr">
        <is>
          <t>opex_total</t>
        </is>
      </c>
      <c r="B205" t="inlineStr">
        <is>
          <t>Q4 FY24</t>
        </is>
      </c>
      <c r="C205" t="inlineStr">
        <is>
          <t>2024-01-31</t>
        </is>
      </c>
      <c r="D205" t="n">
        <v>414327000</v>
      </c>
      <c r="E205" t="inlineStr">
        <is>
          <t>fy_minus_9m</t>
        </is>
      </c>
      <c r="F205" t="inlineStr">
        <is>
          <t>0001441816-25-000057 - 0001441816-24-000260</t>
        </is>
      </c>
      <c r="G205" t="inlineStr">
        <is>
          <t>2025-03-21</t>
        </is>
      </c>
    </row>
    <row r="206">
      <c r="A206" t="inlineStr">
        <is>
          <t>opex_total</t>
        </is>
      </c>
      <c r="B206" t="inlineStr">
        <is>
          <t>Q1 FY25</t>
        </is>
      </c>
      <c r="C206" t="inlineStr">
        <is>
          <t>2024-04-30</t>
        </is>
      </c>
      <c r="D206" t="n">
        <v>426050000</v>
      </c>
      <c r="E206" t="inlineStr">
        <is>
          <t>reported_3m</t>
        </is>
      </c>
      <c r="F206" t="inlineStr">
        <is>
          <t>0001441816-25-000118</t>
        </is>
      </c>
      <c r="G206" t="inlineStr">
        <is>
          <t>2025-06-04</t>
        </is>
      </c>
    </row>
    <row r="207">
      <c r="A207" t="inlineStr">
        <is>
          <t>opex_total</t>
        </is>
      </c>
      <c r="B207" t="inlineStr">
        <is>
          <t>Q2 FY25</t>
        </is>
      </c>
      <c r="C207" t="inlineStr">
        <is>
          <t>2024-07-31</t>
        </is>
      </c>
      <c r="D207" t="n">
        <v>421296000</v>
      </c>
      <c r="E207" t="inlineStr">
        <is>
          <t>reported_3m</t>
        </is>
      </c>
      <c r="F207" t="inlineStr">
        <is>
          <t>0001441816-25-000181</t>
        </is>
      </c>
      <c r="G207" t="inlineStr">
        <is>
          <t>2025-08-27</t>
        </is>
      </c>
    </row>
    <row r="208">
      <c r="A208" t="inlineStr">
        <is>
          <t>opex_total</t>
        </is>
      </c>
      <c r="B208" t="inlineStr">
        <is>
          <t>Q3 FY25</t>
        </is>
      </c>
      <c r="C208" t="inlineStr">
        <is>
          <t>2024-10-31</t>
        </is>
      </c>
      <c r="D208" t="n">
        <v>421920000</v>
      </c>
      <c r="E208" t="inlineStr">
        <is>
          <t>reported_3m</t>
        </is>
      </c>
      <c r="F208" t="inlineStr">
        <is>
          <t>0001441816-24-000260</t>
        </is>
      </c>
      <c r="G208" t="inlineStr">
        <is>
          <t>2024-12-10</t>
        </is>
      </c>
    </row>
    <row r="209">
      <c r="A209" t="inlineStr">
        <is>
          <t>opex_total</t>
        </is>
      </c>
      <c r="B209" t="inlineStr">
        <is>
          <t>Q4 FY25</t>
        </is>
      </c>
      <c r="C209" t="inlineStr">
        <is>
          <t>2025-01-31</t>
        </is>
      </c>
      <c r="D209" t="n">
        <v>417945000</v>
      </c>
      <c r="E209" t="inlineStr">
        <is>
          <t>fy_minus_9m</t>
        </is>
      </c>
      <c r="F209" t="inlineStr">
        <is>
          <t>0001441816-25-000057 - 0001441816-24-000260</t>
        </is>
      </c>
      <c r="G209" t="inlineStr">
        <is>
          <t>2025-03-21</t>
        </is>
      </c>
    </row>
    <row r="210">
      <c r="A210" t="inlineStr">
        <is>
          <t>opex_total</t>
        </is>
      </c>
      <c r="B210" t="inlineStr">
        <is>
          <t>Q1 FY26</t>
        </is>
      </c>
      <c r="C210" t="inlineStr">
        <is>
          <t>2025-04-30</t>
        </is>
      </c>
      <c r="D210" t="n">
        <v>444527000</v>
      </c>
      <c r="E210" t="inlineStr">
        <is>
          <t>reported_3m</t>
        </is>
      </c>
      <c r="F210" t="inlineStr">
        <is>
          <t>0001441816-25-000118</t>
        </is>
      </c>
      <c r="G210" t="inlineStr">
        <is>
          <t>2025-06-04</t>
        </is>
      </c>
    </row>
    <row r="211">
      <c r="A211" t="inlineStr">
        <is>
          <t>opex_total</t>
        </is>
      </c>
      <c r="B211" t="inlineStr">
        <is>
          <t>Q2 FY26</t>
        </is>
      </c>
      <c r="C211" t="inlineStr">
        <is>
          <t>2025-07-31</t>
        </is>
      </c>
      <c r="D211" t="n">
        <v>485268000</v>
      </c>
      <c r="E211" t="inlineStr">
        <is>
          <t>reported_3m</t>
        </is>
      </c>
      <c r="F211" t="inlineStr">
        <is>
          <t>0001441816-25-000181</t>
        </is>
      </c>
      <c r="G211" t="inlineStr">
        <is>
          <t>2025-08-27</t>
        </is>
      </c>
    </row>
    <row r="212">
      <c r="A212" t="inlineStr">
        <is>
          <t>revenue</t>
        </is>
      </c>
      <c r="B212" t="inlineStr">
        <is>
          <t>Q4 FY22</t>
        </is>
      </c>
      <c r="C212" t="inlineStr">
        <is>
          <t>2022-01-31</t>
        </is>
      </c>
      <c r="D212" t="n">
        <v>266494000</v>
      </c>
      <c r="E212" t="inlineStr">
        <is>
          <t>fy_minus_9m</t>
        </is>
      </c>
      <c r="F212" t="inlineStr">
        <is>
          <t>0001441816-24-000049 - 0001441816-22-000193</t>
        </is>
      </c>
      <c r="G212" t="inlineStr">
        <is>
          <t>2024-03-15</t>
        </is>
      </c>
    </row>
    <row r="213">
      <c r="A213" t="inlineStr">
        <is>
          <t>revenue</t>
        </is>
      </c>
      <c r="B213" t="inlineStr">
        <is>
          <t>Q1 FY23</t>
        </is>
      </c>
      <c r="C213" t="inlineStr">
        <is>
          <t>2022-04-30</t>
        </is>
      </c>
      <c r="D213" t="n">
        <v>285447000</v>
      </c>
      <c r="E213" t="inlineStr">
        <is>
          <t>reported_3m</t>
        </is>
      </c>
      <c r="F213" t="inlineStr">
        <is>
          <t>0001441816-23-000087</t>
        </is>
      </c>
      <c r="G213" t="inlineStr">
        <is>
          <t>2023-06-02</t>
        </is>
      </c>
    </row>
    <row r="214">
      <c r="A214" t="inlineStr">
        <is>
          <t>revenue</t>
        </is>
      </c>
      <c r="B214" t="inlineStr">
        <is>
          <t>Q2 FY23</t>
        </is>
      </c>
      <c r="C214" t="inlineStr">
        <is>
          <t>2022-07-31</t>
        </is>
      </c>
      <c r="D214" t="n">
        <v>303660000</v>
      </c>
      <c r="E214" t="inlineStr">
        <is>
          <t>reported_3m</t>
        </is>
      </c>
      <c r="F214" t="inlineStr">
        <is>
          <t>0001441816-23-000168</t>
        </is>
      </c>
      <c r="G214" t="inlineStr">
        <is>
          <t>2023-09-01</t>
        </is>
      </c>
    </row>
    <row r="215">
      <c r="A215" t="inlineStr">
        <is>
          <t>revenue</t>
        </is>
      </c>
      <c r="B215" t="inlineStr">
        <is>
          <t>Q3 FY23</t>
        </is>
      </c>
      <c r="C215" t="inlineStr">
        <is>
          <t>2022-10-31</t>
        </is>
      </c>
      <c r="D215" t="n">
        <v>333621000</v>
      </c>
      <c r="E215" t="inlineStr">
        <is>
          <t>reported_3m</t>
        </is>
      </c>
      <c r="F215" t="inlineStr">
        <is>
          <t>0001441816-23-000248</t>
        </is>
      </c>
      <c r="G215" t="inlineStr">
        <is>
          <t>2023-12-07</t>
        </is>
      </c>
    </row>
    <row r="216">
      <c r="A216" t="inlineStr">
        <is>
          <t>revenue</t>
        </is>
      </c>
      <c r="B216" t="inlineStr">
        <is>
          <t>Q4 FY23</t>
        </is>
      </c>
      <c r="C216" t="inlineStr">
        <is>
          <t>2023-01-31</t>
        </is>
      </c>
      <c r="D216" t="n">
        <v>361312000</v>
      </c>
      <c r="E216" t="inlineStr">
        <is>
          <t>fy_minus_9m</t>
        </is>
      </c>
      <c r="F216" t="inlineStr">
        <is>
          <t>0001441816-25-000057 - 0001441816-23-000248</t>
        </is>
      </c>
      <c r="G216" t="inlineStr">
        <is>
          <t>2025-03-21</t>
        </is>
      </c>
    </row>
    <row r="217">
      <c r="A217" t="inlineStr">
        <is>
          <t>revenue</t>
        </is>
      </c>
      <c r="B217" t="inlineStr">
        <is>
          <t>Q1 FY24</t>
        </is>
      </c>
      <c r="C217" t="inlineStr">
        <is>
          <t>2023-04-30</t>
        </is>
      </c>
      <c r="D217" t="n">
        <v>368280000</v>
      </c>
      <c r="E217" t="inlineStr">
        <is>
          <t>reported_3m</t>
        </is>
      </c>
      <c r="F217" t="inlineStr">
        <is>
          <t>0001441816-24-000111</t>
        </is>
      </c>
      <c r="G217" t="inlineStr">
        <is>
          <t>2024-05-31</t>
        </is>
      </c>
    </row>
    <row r="218">
      <c r="A218" t="inlineStr">
        <is>
          <t>revenue</t>
        </is>
      </c>
      <c r="B218" t="inlineStr">
        <is>
          <t>Q2 FY24</t>
        </is>
      </c>
      <c r="C218" t="inlineStr">
        <is>
          <t>2023-07-31</t>
        </is>
      </c>
      <c r="D218" t="n">
        <v>423791000</v>
      </c>
      <c r="E218" t="inlineStr">
        <is>
          <t>reported_3m</t>
        </is>
      </c>
      <c r="F218" t="inlineStr">
        <is>
          <t>0001441816-24-000188</t>
        </is>
      </c>
      <c r="G218" t="inlineStr">
        <is>
          <t>2024-08-30</t>
        </is>
      </c>
    </row>
    <row r="219">
      <c r="A219" t="inlineStr">
        <is>
          <t>revenue</t>
        </is>
      </c>
      <c r="B219" t="inlineStr">
        <is>
          <t>Q3 FY24</t>
        </is>
      </c>
      <c r="C219" t="inlineStr">
        <is>
          <t>2023-10-31</t>
        </is>
      </c>
      <c r="D219" t="n">
        <v>432938000</v>
      </c>
      <c r="E219" t="inlineStr">
        <is>
          <t>reported_3m</t>
        </is>
      </c>
      <c r="F219" t="inlineStr">
        <is>
          <t>0001441816-24-000260</t>
        </is>
      </c>
      <c r="G219" t="inlineStr">
        <is>
          <t>2024-12-10</t>
        </is>
      </c>
    </row>
    <row r="220">
      <c r="A220" t="inlineStr">
        <is>
          <t>revenue</t>
        </is>
      </c>
      <c r="B220" t="inlineStr">
        <is>
          <t>Q4 FY24</t>
        </is>
      </c>
      <c r="C220" t="inlineStr">
        <is>
          <t>2024-01-31</t>
        </is>
      </c>
      <c r="D220" t="n">
        <v>458002000</v>
      </c>
      <c r="E220" t="inlineStr">
        <is>
          <t>fy_minus_9m</t>
        </is>
      </c>
      <c r="F220" t="inlineStr">
        <is>
          <t>0001441816-25-000057 - 0001441816-24-000260</t>
        </is>
      </c>
      <c r="G220" t="inlineStr">
        <is>
          <t>2025-03-21</t>
        </is>
      </c>
    </row>
    <row r="221">
      <c r="A221" t="inlineStr">
        <is>
          <t>revenue</t>
        </is>
      </c>
      <c r="B221" t="inlineStr">
        <is>
          <t>Q1 FY25</t>
        </is>
      </c>
      <c r="C221" t="inlineStr">
        <is>
          <t>2024-04-30</t>
        </is>
      </c>
      <c r="D221" t="n">
        <v>450561000</v>
      </c>
      <c r="E221" t="inlineStr">
        <is>
          <t>reported_3m</t>
        </is>
      </c>
      <c r="F221" t="inlineStr">
        <is>
          <t>0001441816-25-000118</t>
        </is>
      </c>
      <c r="G221" t="inlineStr">
        <is>
          <t>2025-06-04</t>
        </is>
      </c>
    </row>
    <row r="222">
      <c r="A222" t="inlineStr">
        <is>
          <t>revenue</t>
        </is>
      </c>
      <c r="B222" t="inlineStr">
        <is>
          <t>Q2 FY25</t>
        </is>
      </c>
      <c r="C222" t="inlineStr">
        <is>
          <t>2024-07-31</t>
        </is>
      </c>
      <c r="D222" t="n">
        <v>478109000</v>
      </c>
      <c r="E222" t="inlineStr">
        <is>
          <t>reported_3m</t>
        </is>
      </c>
      <c r="F222" t="inlineStr">
        <is>
          <t>0001441816-25-000181</t>
        </is>
      </c>
      <c r="G222" t="inlineStr">
        <is>
          <t>2025-08-27</t>
        </is>
      </c>
    </row>
    <row r="223">
      <c r="A223" t="inlineStr">
        <is>
          <t>revenue</t>
        </is>
      </c>
      <c r="B223" t="inlineStr">
        <is>
          <t>Q3 FY25</t>
        </is>
      </c>
      <c r="C223" t="inlineStr">
        <is>
          <t>2024-10-31</t>
        </is>
      </c>
      <c r="D223" t="n">
        <v>529375000</v>
      </c>
      <c r="E223" t="inlineStr">
        <is>
          <t>reported_3m</t>
        </is>
      </c>
      <c r="F223" t="inlineStr">
        <is>
          <t>0001441816-24-000260</t>
        </is>
      </c>
      <c r="G223" t="inlineStr">
        <is>
          <t>2024-12-10</t>
        </is>
      </c>
    </row>
    <row r="224">
      <c r="A224" t="inlineStr">
        <is>
          <t>revenue</t>
        </is>
      </c>
      <c r="B224" t="inlineStr">
        <is>
          <t>Q4 FY25</t>
        </is>
      </c>
      <c r="C224" t="inlineStr">
        <is>
          <t>2025-01-31</t>
        </is>
      </c>
      <c r="D224" t="n">
        <v>548398000</v>
      </c>
      <c r="E224" t="inlineStr">
        <is>
          <t>fy_minus_9m</t>
        </is>
      </c>
      <c r="F224" t="inlineStr">
        <is>
          <t>0001441816-25-000057 - 0001441816-24-000260</t>
        </is>
      </c>
      <c r="G224" t="inlineStr">
        <is>
          <t>2025-03-21</t>
        </is>
      </c>
    </row>
    <row r="225">
      <c r="A225" t="inlineStr">
        <is>
          <t>revenue</t>
        </is>
      </c>
      <c r="B225" t="inlineStr">
        <is>
          <t>Q1 FY26</t>
        </is>
      </c>
      <c r="C225" t="inlineStr">
        <is>
          <t>2025-04-30</t>
        </is>
      </c>
      <c r="D225" t="n">
        <v>549014000</v>
      </c>
      <c r="E225" t="inlineStr">
        <is>
          <t>reported_3m</t>
        </is>
      </c>
      <c r="F225" t="inlineStr">
        <is>
          <t>0001441816-25-000118</t>
        </is>
      </c>
      <c r="G225" t="inlineStr">
        <is>
          <t>2025-06-04</t>
        </is>
      </c>
    </row>
    <row r="226">
      <c r="A226" t="inlineStr">
        <is>
          <t>revenue</t>
        </is>
      </c>
      <c r="B226" t="inlineStr">
        <is>
          <t>Q2 FY26</t>
        </is>
      </c>
      <c r="C226" t="inlineStr">
        <is>
          <t>2025-07-31</t>
        </is>
      </c>
      <c r="D226" t="n">
        <v>591402000</v>
      </c>
      <c r="E226" t="inlineStr">
        <is>
          <t>reported_3m</t>
        </is>
      </c>
      <c r="F226" t="inlineStr">
        <is>
          <t>0001441816-25-000181</t>
        </is>
      </c>
      <c r="G226" t="inlineStr">
        <is>
          <t>2025-08-27</t>
        </is>
      </c>
    </row>
    <row r="227">
      <c r="A227" t="inlineStr">
        <is>
          <t>revenue_atlas</t>
        </is>
      </c>
      <c r="B227" t="inlineStr">
        <is>
          <t>Q4 FY22</t>
        </is>
      </c>
      <c r="C227" t="inlineStr">
        <is>
          <t>2022-01-31</t>
        </is>
      </c>
      <c r="D227" t="n">
        <v>155897000</v>
      </c>
      <c r="E227" t="inlineStr">
        <is>
          <t>fy_minus_9m</t>
        </is>
      </c>
      <c r="F227" t="inlineStr">
        <is>
          <t>0001441816-24-000049 - 0001441816-22-000193</t>
        </is>
      </c>
      <c r="G227" t="inlineStr">
        <is>
          <t>2024-03-15</t>
        </is>
      </c>
    </row>
    <row r="228">
      <c r="A228" t="inlineStr">
        <is>
          <t>revenue_atlas</t>
        </is>
      </c>
      <c r="B228" t="inlineStr">
        <is>
          <t>Q1 FY23</t>
        </is>
      </c>
      <c r="C228" t="inlineStr">
        <is>
          <t>2022-04-30</t>
        </is>
      </c>
      <c r="D228" t="n">
        <v>169995000</v>
      </c>
      <c r="E228" t="inlineStr">
        <is>
          <t>reported_3m</t>
        </is>
      </c>
      <c r="F228" t="inlineStr">
        <is>
          <t>0001441816-23-000087</t>
        </is>
      </c>
      <c r="G228" t="inlineStr">
        <is>
          <t>2023-06-02</t>
        </is>
      </c>
    </row>
    <row r="229">
      <c r="A229" t="inlineStr">
        <is>
          <t>revenue_atlas</t>
        </is>
      </c>
      <c r="B229" t="inlineStr">
        <is>
          <t>Q2 FY23</t>
        </is>
      </c>
      <c r="C229" t="inlineStr">
        <is>
          <t>2022-07-31</t>
        </is>
      </c>
      <c r="D229" t="n">
        <v>193354000</v>
      </c>
      <c r="E229" t="inlineStr">
        <is>
          <t>reported_3m</t>
        </is>
      </c>
      <c r="F229" t="inlineStr">
        <is>
          <t>0001441816-23-000168</t>
        </is>
      </c>
      <c r="G229" t="inlineStr">
        <is>
          <t>2023-09-01</t>
        </is>
      </c>
    </row>
    <row r="230">
      <c r="A230" t="inlineStr">
        <is>
          <t>revenue_atlas</t>
        </is>
      </c>
      <c r="B230" t="inlineStr">
        <is>
          <t>Q3 FY23</t>
        </is>
      </c>
      <c r="C230" t="inlineStr">
        <is>
          <t>2022-10-31</t>
        </is>
      </c>
      <c r="D230" t="n">
        <v>211378000</v>
      </c>
      <c r="E230" t="inlineStr">
        <is>
          <t>reported_3m</t>
        </is>
      </c>
      <c r="F230" t="inlineStr">
        <is>
          <t>0001441816-23-000248</t>
        </is>
      </c>
      <c r="G230" t="inlineStr">
        <is>
          <t>2023-12-07</t>
        </is>
      </c>
    </row>
    <row r="231">
      <c r="A231" t="inlineStr">
        <is>
          <t>revenue_atlas</t>
        </is>
      </c>
      <c r="B231" t="inlineStr">
        <is>
          <t>Q4 FY23</t>
        </is>
      </c>
      <c r="C231" t="inlineStr">
        <is>
          <t>2023-01-31</t>
        </is>
      </c>
      <c r="D231" t="n">
        <v>233536000</v>
      </c>
      <c r="E231" t="inlineStr">
        <is>
          <t>fy_minus_9m</t>
        </is>
      </c>
      <c r="F231" t="inlineStr">
        <is>
          <t>0001441816-25-000057 - 0001441816-23-000248</t>
        </is>
      </c>
      <c r="G231" t="inlineStr">
        <is>
          <t>2025-03-21</t>
        </is>
      </c>
    </row>
    <row r="232">
      <c r="A232" t="inlineStr">
        <is>
          <t>revenue_atlas</t>
        </is>
      </c>
      <c r="B232" t="inlineStr">
        <is>
          <t>Q1 FY24</t>
        </is>
      </c>
      <c r="C232" t="inlineStr">
        <is>
          <t>2023-04-30</t>
        </is>
      </c>
      <c r="D232" t="n">
        <v>237756000</v>
      </c>
      <c r="E232" t="inlineStr">
        <is>
          <t>reported_3m</t>
        </is>
      </c>
      <c r="F232" t="inlineStr">
        <is>
          <t>0001441816-24-000111</t>
        </is>
      </c>
      <c r="G232" t="inlineStr">
        <is>
          <t>2024-05-31</t>
        </is>
      </c>
    </row>
    <row r="233">
      <c r="A233" t="inlineStr">
        <is>
          <t>revenue_atlas</t>
        </is>
      </c>
      <c r="B233" t="inlineStr">
        <is>
          <t>Q2 FY24</t>
        </is>
      </c>
      <c r="C233" t="inlineStr">
        <is>
          <t>2023-07-31</t>
        </is>
      </c>
      <c r="D233" t="n">
        <v>267258000</v>
      </c>
      <c r="E233" t="inlineStr">
        <is>
          <t>reported_3m</t>
        </is>
      </c>
      <c r="F233" t="inlineStr">
        <is>
          <t>0001441816-24-000188</t>
        </is>
      </c>
      <c r="G233" t="inlineStr">
        <is>
          <t>2024-08-30</t>
        </is>
      </c>
    </row>
    <row r="234">
      <c r="A234" t="inlineStr">
        <is>
          <t>revenue_atlas</t>
        </is>
      </c>
      <c r="B234" t="inlineStr">
        <is>
          <t>Q3 FY24</t>
        </is>
      </c>
      <c r="C234" t="inlineStr">
        <is>
          <t>2023-10-31</t>
        </is>
      </c>
      <c r="D234" t="n">
        <v>286856000</v>
      </c>
      <c r="E234" t="inlineStr">
        <is>
          <t>reported_3m</t>
        </is>
      </c>
      <c r="F234" t="inlineStr">
        <is>
          <t>0001441816-24-000260</t>
        </is>
      </c>
      <c r="G234" t="inlineStr">
        <is>
          <t>2024-12-10</t>
        </is>
      </c>
    </row>
    <row r="235">
      <c r="A235" t="inlineStr">
        <is>
          <t>revenue_atlas</t>
        </is>
      </c>
      <c r="B235" t="inlineStr">
        <is>
          <t>Q4 FY24</t>
        </is>
      </c>
      <c r="C235" t="inlineStr">
        <is>
          <t>2024-01-31</t>
        </is>
      </c>
      <c r="D235" t="n">
        <v>313481000</v>
      </c>
      <c r="E235" t="inlineStr">
        <is>
          <t>fy_minus_9m</t>
        </is>
      </c>
      <c r="F235" t="inlineStr">
        <is>
          <t>0001441816-25-000057 - 0001441816-24-000260</t>
        </is>
      </c>
      <c r="G235" t="inlineStr">
        <is>
          <t>2025-03-21</t>
        </is>
      </c>
    </row>
    <row r="236">
      <c r="A236" t="inlineStr">
        <is>
          <t>revenue_atlas</t>
        </is>
      </c>
      <c r="B236" t="inlineStr">
        <is>
          <t>Q1 FY25</t>
        </is>
      </c>
      <c r="C236" t="inlineStr">
        <is>
          <t>2024-04-30</t>
        </is>
      </c>
      <c r="D236" t="n">
        <v>313855000</v>
      </c>
      <c r="E236" t="inlineStr">
        <is>
          <t>reported_3m</t>
        </is>
      </c>
      <c r="F236" t="inlineStr">
        <is>
          <t>0001441816-25-000118</t>
        </is>
      </c>
      <c r="G236" t="inlineStr">
        <is>
          <t>2025-06-04</t>
        </is>
      </c>
    </row>
    <row r="237">
      <c r="A237" t="inlineStr">
        <is>
          <t>revenue_atlas</t>
        </is>
      </c>
      <c r="B237" t="inlineStr">
        <is>
          <t>Q2 FY25</t>
        </is>
      </c>
      <c r="C237" t="inlineStr">
        <is>
          <t>2024-07-31</t>
        </is>
      </c>
      <c r="D237" t="n">
        <v>339683000</v>
      </c>
      <c r="E237" t="inlineStr">
        <is>
          <t>reported_3m</t>
        </is>
      </c>
      <c r="F237" t="inlineStr">
        <is>
          <t>0001441816-25-000181</t>
        </is>
      </c>
      <c r="G237" t="inlineStr">
        <is>
          <t>2025-08-27</t>
        </is>
      </c>
    </row>
    <row r="238">
      <c r="A238" t="inlineStr">
        <is>
          <t>revenue_atlas</t>
        </is>
      </c>
      <c r="B238" t="inlineStr">
        <is>
          <t>Q3 FY25</t>
        </is>
      </c>
      <c r="C238" t="inlineStr">
        <is>
          <t>2024-10-31</t>
        </is>
      </c>
      <c r="D238" t="n">
        <v>362604000</v>
      </c>
      <c r="E238" t="inlineStr">
        <is>
          <t>reported_3m</t>
        </is>
      </c>
      <c r="F238" t="inlineStr">
        <is>
          <t>0001441816-24-000260</t>
        </is>
      </c>
      <c r="G238" t="inlineStr">
        <is>
          <t>2024-12-10</t>
        </is>
      </c>
    </row>
    <row r="239">
      <c r="A239" t="inlineStr">
        <is>
          <t>revenue_atlas</t>
        </is>
      </c>
      <c r="B239" t="inlineStr">
        <is>
          <t>Q4 FY25</t>
        </is>
      </c>
      <c r="C239" t="inlineStr">
        <is>
          <t>2025-01-31</t>
        </is>
      </c>
      <c r="D239" t="n">
        <v>389042000</v>
      </c>
      <c r="E239" t="inlineStr">
        <is>
          <t>fy_minus_9m</t>
        </is>
      </c>
      <c r="F239" t="inlineStr">
        <is>
          <t>0001441816-25-000057 - 0001441816-24-000260</t>
        </is>
      </c>
      <c r="G239" t="inlineStr">
        <is>
          <t>2025-03-21</t>
        </is>
      </c>
    </row>
    <row r="240">
      <c r="A240" t="inlineStr">
        <is>
          <t>revenue_atlas</t>
        </is>
      </c>
      <c r="B240" t="inlineStr">
        <is>
          <t>Q1 FY26</t>
        </is>
      </c>
      <c r="C240" t="inlineStr">
        <is>
          <t>2025-04-30</t>
        </is>
      </c>
      <c r="D240" t="n">
        <v>395893000</v>
      </c>
      <c r="E240" t="inlineStr">
        <is>
          <t>reported_3m</t>
        </is>
      </c>
      <c r="F240" t="inlineStr">
        <is>
          <t>0001441816-25-000118</t>
        </is>
      </c>
      <c r="G240" t="inlineStr">
        <is>
          <t>2025-06-04</t>
        </is>
      </c>
    </row>
    <row r="241">
      <c r="A241" t="inlineStr">
        <is>
          <t>revenue_atlas</t>
        </is>
      </c>
      <c r="B241" t="inlineStr">
        <is>
          <t>Q2 FY26</t>
        </is>
      </c>
      <c r="C241" t="inlineStr">
        <is>
          <t>2025-07-31</t>
        </is>
      </c>
      <c r="D241" t="n">
        <v>438970000</v>
      </c>
      <c r="E241" t="inlineStr">
        <is>
          <t>reported_3m</t>
        </is>
      </c>
      <c r="F241" t="inlineStr">
        <is>
          <t>0001441816-25-000181</t>
        </is>
      </c>
      <c r="G241" t="inlineStr">
        <is>
          <t>2025-08-27</t>
        </is>
      </c>
    </row>
    <row r="242">
      <c r="A242" t="inlineStr">
        <is>
          <t>revenue_other_subscription</t>
        </is>
      </c>
      <c r="B242" t="inlineStr">
        <is>
          <t>Q4 FY22</t>
        </is>
      </c>
      <c r="C242" t="inlineStr">
        <is>
          <t>2022-01-31</t>
        </is>
      </c>
      <c r="D242" t="n">
        <v>102328000</v>
      </c>
      <c r="E242" t="inlineStr">
        <is>
          <t>fy_minus_9m</t>
        </is>
      </c>
      <c r="F242" t="inlineStr">
        <is>
          <t>0001441816-24-000049 - 0001441816-22-000193</t>
        </is>
      </c>
      <c r="G242" t="inlineStr">
        <is>
          <t>2024-03-15</t>
        </is>
      </c>
    </row>
    <row r="243">
      <c r="A243" t="inlineStr">
        <is>
          <t>revenue_other_subscription</t>
        </is>
      </c>
      <c r="B243" t="inlineStr">
        <is>
          <t>Q1 FY23</t>
        </is>
      </c>
      <c r="C243" t="inlineStr">
        <is>
          <t>2022-04-30</t>
        </is>
      </c>
      <c r="D243" t="n">
        <v>104586000</v>
      </c>
      <c r="E243" t="inlineStr">
        <is>
          <t>reported_3m</t>
        </is>
      </c>
      <c r="F243" t="inlineStr">
        <is>
          <t>0001441816-23-000087</t>
        </is>
      </c>
      <c r="G243" t="inlineStr">
        <is>
          <t>2023-06-02</t>
        </is>
      </c>
    </row>
    <row r="244">
      <c r="A244" t="inlineStr">
        <is>
          <t>revenue_other_subscription</t>
        </is>
      </c>
      <c r="B244" t="inlineStr">
        <is>
          <t>Q2 FY23</t>
        </is>
      </c>
      <c r="C244" t="inlineStr">
        <is>
          <t>2022-07-31</t>
        </is>
      </c>
      <c r="D244" t="n">
        <v>98253000</v>
      </c>
      <c r="E244" t="inlineStr">
        <is>
          <t>reported_3m</t>
        </is>
      </c>
      <c r="F244" t="inlineStr">
        <is>
          <t>0001441816-23-000168</t>
        </is>
      </c>
      <c r="G244" t="inlineStr">
        <is>
          <t>2023-09-01</t>
        </is>
      </c>
    </row>
    <row r="245">
      <c r="A245" t="inlineStr">
        <is>
          <t>revenue_other_subscription</t>
        </is>
      </c>
      <c r="B245" t="inlineStr">
        <is>
          <t>Q3 FY23</t>
        </is>
      </c>
      <c r="C245" t="inlineStr">
        <is>
          <t>2022-10-31</t>
        </is>
      </c>
      <c r="D245" t="n">
        <v>109378000</v>
      </c>
      <c r="E245" t="inlineStr">
        <is>
          <t>reported_3m</t>
        </is>
      </c>
      <c r="F245" t="inlineStr">
        <is>
          <t>0001441816-23-000248</t>
        </is>
      </c>
      <c r="G245" t="inlineStr">
        <is>
          <t>2023-12-07</t>
        </is>
      </c>
    </row>
    <row r="246">
      <c r="A246" t="inlineStr">
        <is>
          <t>revenue_other_subscription</t>
        </is>
      </c>
      <c r="B246" t="inlineStr">
        <is>
          <t>Q4 FY23</t>
        </is>
      </c>
      <c r="C246" t="inlineStr">
        <is>
          <t>2023-01-31</t>
        </is>
      </c>
      <c r="D246" t="n">
        <v>114642000</v>
      </c>
      <c r="E246" t="inlineStr">
        <is>
          <t>fy_minus_9m</t>
        </is>
      </c>
      <c r="F246" t="inlineStr">
        <is>
          <t>0001441816-25-000057 - 0001441816-23-000248</t>
        </is>
      </c>
      <c r="G246" t="inlineStr">
        <is>
          <t>2025-03-21</t>
        </is>
      </c>
    </row>
    <row r="247">
      <c r="A247" t="inlineStr">
        <is>
          <t>revenue_other_subscription</t>
        </is>
      </c>
      <c r="B247" t="inlineStr">
        <is>
          <t>Q1 FY24</t>
        </is>
      </c>
      <c r="C247" t="inlineStr">
        <is>
          <t>2023-04-30</t>
        </is>
      </c>
      <c r="D247" t="n">
        <v>116958000</v>
      </c>
      <c r="E247" t="inlineStr">
        <is>
          <t>reported_3m</t>
        </is>
      </c>
      <c r="F247" t="inlineStr">
        <is>
          <t>0001441816-24-000111</t>
        </is>
      </c>
      <c r="G247" t="inlineStr">
        <is>
          <t>2024-05-31</t>
        </is>
      </c>
    </row>
    <row r="248">
      <c r="A248" t="inlineStr">
        <is>
          <t>revenue_other_subscription</t>
        </is>
      </c>
      <c r="B248" t="inlineStr">
        <is>
          <t>Q2 FY24</t>
        </is>
      </c>
      <c r="C248" t="inlineStr">
        <is>
          <t>2023-07-31</t>
        </is>
      </c>
      <c r="D248" t="n">
        <v>142076000</v>
      </c>
      <c r="E248" t="inlineStr">
        <is>
          <t>reported_3m</t>
        </is>
      </c>
      <c r="F248" t="inlineStr">
        <is>
          <t>0001441816-24-000188</t>
        </is>
      </c>
      <c r="G248" t="inlineStr">
        <is>
          <t>2024-08-30</t>
        </is>
      </c>
    </row>
    <row r="249">
      <c r="A249" t="inlineStr">
        <is>
          <t>revenue_other_subscription</t>
        </is>
      </c>
      <c r="B249" t="inlineStr">
        <is>
          <t>Q3 FY24</t>
        </is>
      </c>
      <c r="C249" t="inlineStr">
        <is>
          <t>2023-10-31</t>
        </is>
      </c>
      <c r="D249" t="n">
        <v>131483000</v>
      </c>
      <c r="E249" t="inlineStr">
        <is>
          <t>reported_3m</t>
        </is>
      </c>
      <c r="F249" t="inlineStr">
        <is>
          <t>0001441816-24-000260</t>
        </is>
      </c>
      <c r="G249" t="inlineStr">
        <is>
          <t>2024-12-10</t>
        </is>
      </c>
    </row>
    <row r="250">
      <c r="A250" t="inlineStr">
        <is>
          <t>revenue_other_subscription</t>
        </is>
      </c>
      <c r="B250" t="inlineStr">
        <is>
          <t>Q4 FY24</t>
        </is>
      </c>
      <c r="C250" t="inlineStr">
        <is>
          <t>2024-01-31</t>
        </is>
      </c>
      <c r="D250" t="n">
        <v>131458000</v>
      </c>
      <c r="E250" t="inlineStr">
        <is>
          <t>fy_minus_9m</t>
        </is>
      </c>
      <c r="F250" t="inlineStr">
        <is>
          <t>0001441816-25-000057 - 0001441816-24-000260</t>
        </is>
      </c>
      <c r="G250" t="inlineStr">
        <is>
          <t>2025-03-21</t>
        </is>
      </c>
    </row>
    <row r="251">
      <c r="A251" t="inlineStr">
        <is>
          <t>revenue_other_subscription</t>
        </is>
      </c>
      <c r="B251" t="inlineStr">
        <is>
          <t>Q1 FY25</t>
        </is>
      </c>
      <c r="C251" t="inlineStr">
        <is>
          <t>2024-04-30</t>
        </is>
      </c>
      <c r="D251" t="n">
        <v>123041000</v>
      </c>
      <c r="E251" t="inlineStr">
        <is>
          <t>reported_3m</t>
        </is>
      </c>
      <c r="F251" t="inlineStr">
        <is>
          <t>0001441816-25-000118</t>
        </is>
      </c>
      <c r="G251" t="inlineStr">
        <is>
          <t>2025-06-04</t>
        </is>
      </c>
    </row>
    <row r="252">
      <c r="A252" t="inlineStr">
        <is>
          <t>revenue_other_subscription</t>
        </is>
      </c>
      <c r="B252" t="inlineStr">
        <is>
          <t>Q2 FY25</t>
        </is>
      </c>
      <c r="C252" t="inlineStr">
        <is>
          <t>2024-07-31</t>
        </is>
      </c>
      <c r="D252" t="n">
        <v>124122000</v>
      </c>
      <c r="E252" t="inlineStr">
        <is>
          <t>reported_3m</t>
        </is>
      </c>
      <c r="F252" t="inlineStr">
        <is>
          <t>0001441816-25-000181</t>
        </is>
      </c>
      <c r="G252" t="inlineStr">
        <is>
          <t>2025-08-27</t>
        </is>
      </c>
    </row>
    <row r="253">
      <c r="A253" t="inlineStr">
        <is>
          <t>revenue_other_subscription</t>
        </is>
      </c>
      <c r="B253" t="inlineStr">
        <is>
          <t>Q3 FY25</t>
        </is>
      </c>
      <c r="C253" t="inlineStr">
        <is>
          <t>2024-10-31</t>
        </is>
      </c>
      <c r="D253" t="n">
        <v>149601000</v>
      </c>
      <c r="E253" t="inlineStr">
        <is>
          <t>reported_3m</t>
        </is>
      </c>
      <c r="F253" t="inlineStr">
        <is>
          <t>0001441816-24-000260</t>
        </is>
      </c>
      <c r="G253" t="inlineStr">
        <is>
          <t>2024-12-10</t>
        </is>
      </c>
    </row>
    <row r="254">
      <c r="A254" t="inlineStr">
        <is>
          <t>revenue_other_subscription</t>
        </is>
      </c>
      <c r="B254" t="inlineStr">
        <is>
          <t>Q4 FY25</t>
        </is>
      </c>
      <c r="C254" t="inlineStr">
        <is>
          <t>2025-01-31</t>
        </is>
      </c>
      <c r="D254" t="n">
        <v>141916000</v>
      </c>
      <c r="E254" t="inlineStr">
        <is>
          <t>fy_minus_9m</t>
        </is>
      </c>
      <c r="F254" t="inlineStr">
        <is>
          <t>0001441816-25-000057 - 0001441816-24-000260</t>
        </is>
      </c>
      <c r="G254" t="inlineStr">
        <is>
          <t>2025-03-21</t>
        </is>
      </c>
    </row>
    <row r="255">
      <c r="A255" t="inlineStr">
        <is>
          <t>revenue_other_subscription</t>
        </is>
      </c>
      <c r="B255" t="inlineStr">
        <is>
          <t>Q1 FY26</t>
        </is>
      </c>
      <c r="C255" t="inlineStr">
        <is>
          <t>2025-04-30</t>
        </is>
      </c>
      <c r="D255" t="n">
        <v>135562000</v>
      </c>
      <c r="E255" t="inlineStr">
        <is>
          <t>reported_3m</t>
        </is>
      </c>
      <c r="F255" t="inlineStr">
        <is>
          <t>0001441816-25-000118</t>
        </is>
      </c>
      <c r="G255" t="inlineStr">
        <is>
          <t>2025-06-04</t>
        </is>
      </c>
    </row>
    <row r="256">
      <c r="A256" t="inlineStr">
        <is>
          <t>revenue_other_subscription</t>
        </is>
      </c>
      <c r="B256" t="inlineStr">
        <is>
          <t>Q2 FY26</t>
        </is>
      </c>
      <c r="C256" t="inlineStr">
        <is>
          <t>2025-07-31</t>
        </is>
      </c>
      <c r="D256" t="n">
        <v>133385000</v>
      </c>
      <c r="E256" t="inlineStr">
        <is>
          <t>reported_3m</t>
        </is>
      </c>
      <c r="F256" t="inlineStr">
        <is>
          <t>0001441816-25-000181</t>
        </is>
      </c>
      <c r="G256" t="inlineStr">
        <is>
          <t>2025-08-27</t>
        </is>
      </c>
    </row>
    <row r="257">
      <c r="A257" t="inlineStr">
        <is>
          <t>revenue_services</t>
        </is>
      </c>
      <c r="B257" t="inlineStr">
        <is>
          <t>Q4 FY22</t>
        </is>
      </c>
      <c r="C257" t="inlineStr">
        <is>
          <t>2022-01-31</t>
        </is>
      </c>
      <c r="D257" t="n">
        <v>8269000</v>
      </c>
      <c r="E257" t="inlineStr">
        <is>
          <t>fy_minus_9m</t>
        </is>
      </c>
      <c r="F257" t="inlineStr">
        <is>
          <t>0001441816-24-000049 - 0001441816-22-000193</t>
        </is>
      </c>
      <c r="G257" t="inlineStr">
        <is>
          <t>2024-03-15</t>
        </is>
      </c>
    </row>
    <row r="258">
      <c r="A258" t="inlineStr">
        <is>
          <t>revenue_services</t>
        </is>
      </c>
      <c r="B258" t="inlineStr">
        <is>
          <t>Q1 FY23</t>
        </is>
      </c>
      <c r="C258" t="inlineStr">
        <is>
          <t>2022-04-30</t>
        </is>
      </c>
      <c r="D258" t="n">
        <v>10866000</v>
      </c>
      <c r="E258" t="inlineStr">
        <is>
          <t>reported_3m</t>
        </is>
      </c>
      <c r="F258" t="inlineStr">
        <is>
          <t>0001441816-23-000087</t>
        </is>
      </c>
      <c r="G258" t="inlineStr">
        <is>
          <t>2023-06-02</t>
        </is>
      </c>
    </row>
    <row r="259">
      <c r="A259" t="inlineStr">
        <is>
          <t>revenue_services</t>
        </is>
      </c>
      <c r="B259" t="inlineStr">
        <is>
          <t>Q2 FY23</t>
        </is>
      </c>
      <c r="C259" t="inlineStr">
        <is>
          <t>2022-07-31</t>
        </is>
      </c>
      <c r="D259" t="n">
        <v>12053000</v>
      </c>
      <c r="E259" t="inlineStr">
        <is>
          <t>reported_3m</t>
        </is>
      </c>
      <c r="F259" t="inlineStr">
        <is>
          <t>0001441816-23-000168</t>
        </is>
      </c>
      <c r="G259" t="inlineStr">
        <is>
          <t>2023-09-01</t>
        </is>
      </c>
    </row>
    <row r="260">
      <c r="A260" t="inlineStr">
        <is>
          <t>revenue_services</t>
        </is>
      </c>
      <c r="B260" t="inlineStr">
        <is>
          <t>Q3 FY23</t>
        </is>
      </c>
      <c r="C260" t="inlineStr">
        <is>
          <t>2022-10-31</t>
        </is>
      </c>
      <c r="D260" t="n">
        <v>12865000</v>
      </c>
      <c r="E260" t="inlineStr">
        <is>
          <t>reported_3m</t>
        </is>
      </c>
      <c r="F260" t="inlineStr">
        <is>
          <t>0001441816-23-000248</t>
        </is>
      </c>
      <c r="G260" t="inlineStr">
        <is>
          <t>2023-12-07</t>
        </is>
      </c>
    </row>
    <row r="261">
      <c r="A261" t="inlineStr">
        <is>
          <t>revenue_services</t>
        </is>
      </c>
      <c r="B261" t="inlineStr">
        <is>
          <t>Q4 FY23</t>
        </is>
      </c>
      <c r="C261" t="inlineStr">
        <is>
          <t>2023-01-31</t>
        </is>
      </c>
      <c r="D261" t="n">
        <v>13134000</v>
      </c>
      <c r="E261" t="inlineStr">
        <is>
          <t>fy_minus_9m</t>
        </is>
      </c>
      <c r="F261" t="inlineStr">
        <is>
          <t>0001441816-25-000057 - 0001441816-23-000248</t>
        </is>
      </c>
      <c r="G261" t="inlineStr">
        <is>
          <t>2025-03-21</t>
        </is>
      </c>
    </row>
    <row r="262">
      <c r="A262" t="inlineStr">
        <is>
          <t>revenue_services</t>
        </is>
      </c>
      <c r="B262" t="inlineStr">
        <is>
          <t>Q1 FY24</t>
        </is>
      </c>
      <c r="C262" t="inlineStr">
        <is>
          <t>2023-04-30</t>
        </is>
      </c>
      <c r="D262" t="n">
        <v>13566000</v>
      </c>
      <c r="E262" t="inlineStr">
        <is>
          <t>reported_3m</t>
        </is>
      </c>
      <c r="F262" t="inlineStr">
        <is>
          <t>0001441816-24-000111</t>
        </is>
      </c>
      <c r="G262" t="inlineStr">
        <is>
          <t>2024-05-31</t>
        </is>
      </c>
    </row>
    <row r="263">
      <c r="A263" t="inlineStr">
        <is>
          <t>revenue_services</t>
        </is>
      </c>
      <c r="B263" t="inlineStr">
        <is>
          <t>Q2 FY24</t>
        </is>
      </c>
      <c r="C263" t="inlineStr">
        <is>
          <t>2023-07-31</t>
        </is>
      </c>
      <c r="D263" t="n">
        <v>14457000</v>
      </c>
      <c r="E263" t="inlineStr">
        <is>
          <t>reported_3m</t>
        </is>
      </c>
      <c r="F263" t="inlineStr">
        <is>
          <t>0001441816-24-000188</t>
        </is>
      </c>
      <c r="G263" t="inlineStr">
        <is>
          <t>2024-08-30</t>
        </is>
      </c>
    </row>
    <row r="264">
      <c r="A264" t="inlineStr">
        <is>
          <t>revenue_services</t>
        </is>
      </c>
      <c r="B264" t="inlineStr">
        <is>
          <t>Q3 FY24</t>
        </is>
      </c>
      <c r="C264" t="inlineStr">
        <is>
          <t>2023-10-31</t>
        </is>
      </c>
      <c r="D264" t="n">
        <v>14599000</v>
      </c>
      <c r="E264" t="inlineStr">
        <is>
          <t>reported_3m</t>
        </is>
      </c>
      <c r="F264" t="inlineStr">
        <is>
          <t>0001441816-24-000260</t>
        </is>
      </c>
      <c r="G264" t="inlineStr">
        <is>
          <t>2024-12-10</t>
        </is>
      </c>
    </row>
    <row r="265">
      <c r="A265" t="inlineStr">
        <is>
          <t>revenue_services</t>
        </is>
      </c>
      <c r="B265" t="inlineStr">
        <is>
          <t>Q4 FY24</t>
        </is>
      </c>
      <c r="C265" t="inlineStr">
        <is>
          <t>2024-01-31</t>
        </is>
      </c>
      <c r="D265" t="n">
        <v>13063000</v>
      </c>
      <c r="E265" t="inlineStr">
        <is>
          <t>fy_minus_9m</t>
        </is>
      </c>
      <c r="F265" t="inlineStr">
        <is>
          <t>0001441816-25-000057 - 0001441816-24-000260</t>
        </is>
      </c>
      <c r="G265" t="inlineStr">
        <is>
          <t>2025-03-21</t>
        </is>
      </c>
    </row>
    <row r="266">
      <c r="A266" t="inlineStr">
        <is>
          <t>revenue_services</t>
        </is>
      </c>
      <c r="B266" t="inlineStr">
        <is>
          <t>Q1 FY25</t>
        </is>
      </c>
      <c r="C266" t="inlineStr">
        <is>
          <t>2024-04-30</t>
        </is>
      </c>
      <c r="D266" t="n">
        <v>13665000</v>
      </c>
      <c r="E266" t="inlineStr">
        <is>
          <t>reported_3m</t>
        </is>
      </c>
      <c r="F266" t="inlineStr">
        <is>
          <t>0001441816-25-000118</t>
        </is>
      </c>
      <c r="G266" t="inlineStr">
        <is>
          <t>2025-06-04</t>
        </is>
      </c>
    </row>
    <row r="267">
      <c r="A267" t="inlineStr">
        <is>
          <t>revenue_services</t>
        </is>
      </c>
      <c r="B267" t="inlineStr">
        <is>
          <t>Q2 FY25</t>
        </is>
      </c>
      <c r="C267" t="inlineStr">
        <is>
          <t>2024-07-31</t>
        </is>
      </c>
      <c r="D267" t="n">
        <v>14304000</v>
      </c>
      <c r="E267" t="inlineStr">
        <is>
          <t>reported_3m</t>
        </is>
      </c>
      <c r="F267" t="inlineStr">
        <is>
          <t>0001441816-25-000181</t>
        </is>
      </c>
      <c r="G267" t="inlineStr">
        <is>
          <t>2025-08-27</t>
        </is>
      </c>
    </row>
    <row r="268">
      <c r="A268" t="inlineStr">
        <is>
          <t>revenue_services</t>
        </is>
      </c>
      <c r="B268" t="inlineStr">
        <is>
          <t>Q3 FY25</t>
        </is>
      </c>
      <c r="C268" t="inlineStr">
        <is>
          <t>2024-10-31</t>
        </is>
      </c>
      <c r="D268" t="n">
        <v>17170000</v>
      </c>
      <c r="E268" t="inlineStr">
        <is>
          <t>reported_3m</t>
        </is>
      </c>
      <c r="F268" t="inlineStr">
        <is>
          <t>0001441816-24-000260</t>
        </is>
      </c>
      <c r="G268" t="inlineStr">
        <is>
          <t>2024-12-10</t>
        </is>
      </c>
    </row>
    <row r="269">
      <c r="A269" t="inlineStr">
        <is>
          <t>revenue_services</t>
        </is>
      </c>
      <c r="B269" t="inlineStr">
        <is>
          <t>Q4 FY25</t>
        </is>
      </c>
      <c r="C269" t="inlineStr">
        <is>
          <t>2025-01-31</t>
        </is>
      </c>
      <c r="D269" t="n">
        <v>17440000</v>
      </c>
      <c r="E269" t="inlineStr">
        <is>
          <t>fy_minus_9m</t>
        </is>
      </c>
      <c r="F269" t="inlineStr">
        <is>
          <t>0001441816-25-000057 - 0001441816-24-000260</t>
        </is>
      </c>
      <c r="G269" t="inlineStr">
        <is>
          <t>2025-03-21</t>
        </is>
      </c>
    </row>
    <row r="270">
      <c r="A270" t="inlineStr">
        <is>
          <t>revenue_services</t>
        </is>
      </c>
      <c r="B270" t="inlineStr">
        <is>
          <t>Q1 FY26</t>
        </is>
      </c>
      <c r="C270" t="inlineStr">
        <is>
          <t>2025-04-30</t>
        </is>
      </c>
      <c r="D270" t="n">
        <v>17559000</v>
      </c>
      <c r="E270" t="inlineStr">
        <is>
          <t>reported_3m</t>
        </is>
      </c>
      <c r="F270" t="inlineStr">
        <is>
          <t>0001441816-25-000118</t>
        </is>
      </c>
      <c r="G270" t="inlineStr">
        <is>
          <t>2025-06-04</t>
        </is>
      </c>
    </row>
    <row r="271">
      <c r="A271" t="inlineStr">
        <is>
          <t>revenue_services</t>
        </is>
      </c>
      <c r="B271" t="inlineStr">
        <is>
          <t>Q2 FY26</t>
        </is>
      </c>
      <c r="C271" t="inlineStr">
        <is>
          <t>2025-07-31</t>
        </is>
      </c>
      <c r="D271" t="n">
        <v>19047000</v>
      </c>
      <c r="E271" t="inlineStr">
        <is>
          <t>reported_3m</t>
        </is>
      </c>
      <c r="F271" t="inlineStr">
        <is>
          <t>0001441816-25-000181</t>
        </is>
      </c>
      <c r="G271" t="inlineStr">
        <is>
          <t>2025-08-27</t>
        </is>
      </c>
    </row>
    <row r="272">
      <c r="A272" t="inlineStr">
        <is>
          <t>revenue_subscription</t>
        </is>
      </c>
      <c r="B272" t="inlineStr">
        <is>
          <t>Q4 FY22</t>
        </is>
      </c>
      <c r="C272" t="inlineStr">
        <is>
          <t>2022-01-31</t>
        </is>
      </c>
      <c r="D272" t="n">
        <v>258225000</v>
      </c>
      <c r="E272" t="inlineStr">
        <is>
          <t>fy_minus_9m</t>
        </is>
      </c>
      <c r="F272" t="inlineStr">
        <is>
          <t>0001441816-24-000049 - 0001441816-22-000193</t>
        </is>
      </c>
      <c r="G272" t="inlineStr">
        <is>
          <t>2024-03-15</t>
        </is>
      </c>
    </row>
    <row r="273">
      <c r="A273" t="inlineStr">
        <is>
          <t>revenue_subscription</t>
        </is>
      </c>
      <c r="B273" t="inlineStr">
        <is>
          <t>Q1 FY23</t>
        </is>
      </c>
      <c r="C273" t="inlineStr">
        <is>
          <t>2022-04-30</t>
        </is>
      </c>
      <c r="D273" t="n">
        <v>274581000</v>
      </c>
      <c r="E273" t="inlineStr">
        <is>
          <t>reported_3m</t>
        </is>
      </c>
      <c r="F273" t="inlineStr">
        <is>
          <t>0001441816-23-000087</t>
        </is>
      </c>
      <c r="G273" t="inlineStr">
        <is>
          <t>2023-06-02</t>
        </is>
      </c>
    </row>
    <row r="274">
      <c r="A274" t="inlineStr">
        <is>
          <t>revenue_subscription</t>
        </is>
      </c>
      <c r="B274" t="inlineStr">
        <is>
          <t>Q2 FY23</t>
        </is>
      </c>
      <c r="C274" t="inlineStr">
        <is>
          <t>2022-07-31</t>
        </is>
      </c>
      <c r="D274" t="n">
        <v>291607000</v>
      </c>
      <c r="E274" t="inlineStr">
        <is>
          <t>reported_3m</t>
        </is>
      </c>
      <c r="F274" t="inlineStr">
        <is>
          <t>0001441816-23-000168</t>
        </is>
      </c>
      <c r="G274" t="inlineStr">
        <is>
          <t>2023-09-01</t>
        </is>
      </c>
    </row>
    <row r="275">
      <c r="A275" t="inlineStr">
        <is>
          <t>revenue_subscription</t>
        </is>
      </c>
      <c r="B275" t="inlineStr">
        <is>
          <t>Q3 FY23</t>
        </is>
      </c>
      <c r="C275" t="inlineStr">
        <is>
          <t>2022-10-31</t>
        </is>
      </c>
      <c r="D275" t="n">
        <v>320756000</v>
      </c>
      <c r="E275" t="inlineStr">
        <is>
          <t>reported_3m</t>
        </is>
      </c>
      <c r="F275" t="inlineStr">
        <is>
          <t>0001441816-23-000248</t>
        </is>
      </c>
      <c r="G275" t="inlineStr">
        <is>
          <t>2023-12-07</t>
        </is>
      </c>
    </row>
    <row r="276">
      <c r="A276" t="inlineStr">
        <is>
          <t>revenue_subscription</t>
        </is>
      </c>
      <c r="B276" t="inlineStr">
        <is>
          <t>Q4 FY23</t>
        </is>
      </c>
      <c r="C276" t="inlineStr">
        <is>
          <t>2023-01-31</t>
        </is>
      </c>
      <c r="D276" t="n">
        <v>348178000</v>
      </c>
      <c r="E276" t="inlineStr">
        <is>
          <t>fy_minus_9m</t>
        </is>
      </c>
      <c r="F276" t="inlineStr">
        <is>
          <t>0001441816-25-000057 - 0001441816-23-000248</t>
        </is>
      </c>
      <c r="G276" t="inlineStr">
        <is>
          <t>2025-03-21</t>
        </is>
      </c>
    </row>
    <row r="277">
      <c r="A277" t="inlineStr">
        <is>
          <t>revenue_subscription</t>
        </is>
      </c>
      <c r="B277" t="inlineStr">
        <is>
          <t>Q1 FY24</t>
        </is>
      </c>
      <c r="C277" t="inlineStr">
        <is>
          <t>2023-04-30</t>
        </is>
      </c>
      <c r="D277" t="n">
        <v>354714000</v>
      </c>
      <c r="E277" t="inlineStr">
        <is>
          <t>reported_3m</t>
        </is>
      </c>
      <c r="F277" t="inlineStr">
        <is>
          <t>0001441816-24-000111</t>
        </is>
      </c>
      <c r="G277" t="inlineStr">
        <is>
          <t>2024-05-31</t>
        </is>
      </c>
    </row>
    <row r="278">
      <c r="A278" t="inlineStr">
        <is>
          <t>revenue_subscription</t>
        </is>
      </c>
      <c r="B278" t="inlineStr">
        <is>
          <t>Q2 FY24</t>
        </is>
      </c>
      <c r="C278" t="inlineStr">
        <is>
          <t>2023-07-31</t>
        </is>
      </c>
      <c r="D278" t="n">
        <v>409334000</v>
      </c>
      <c r="E278" t="inlineStr">
        <is>
          <t>reported_3m</t>
        </is>
      </c>
      <c r="F278" t="inlineStr">
        <is>
          <t>0001441816-24-000188</t>
        </is>
      </c>
      <c r="G278" t="inlineStr">
        <is>
          <t>2024-08-30</t>
        </is>
      </c>
    </row>
    <row r="279">
      <c r="A279" t="inlineStr">
        <is>
          <t>revenue_subscription</t>
        </is>
      </c>
      <c r="B279" t="inlineStr">
        <is>
          <t>Q3 FY24</t>
        </is>
      </c>
      <c r="C279" t="inlineStr">
        <is>
          <t>2023-10-31</t>
        </is>
      </c>
      <c r="D279" t="n">
        <v>418339000</v>
      </c>
      <c r="E279" t="inlineStr">
        <is>
          <t>reported_3m</t>
        </is>
      </c>
      <c r="F279" t="inlineStr">
        <is>
          <t>0001441816-24-000260</t>
        </is>
      </c>
      <c r="G279" t="inlineStr">
        <is>
          <t>2024-12-10</t>
        </is>
      </c>
    </row>
    <row r="280">
      <c r="A280" t="inlineStr">
        <is>
          <t>revenue_subscription</t>
        </is>
      </c>
      <c r="B280" t="inlineStr">
        <is>
          <t>Q4 FY24</t>
        </is>
      </c>
      <c r="C280" t="inlineStr">
        <is>
          <t>2024-01-31</t>
        </is>
      </c>
      <c r="D280" t="n">
        <v>444939000</v>
      </c>
      <c r="E280" t="inlineStr">
        <is>
          <t>fy_minus_9m</t>
        </is>
      </c>
      <c r="F280" t="inlineStr">
        <is>
          <t>0001441816-25-000057 - 0001441816-24-000260</t>
        </is>
      </c>
      <c r="G280" t="inlineStr">
        <is>
          <t>2025-03-21</t>
        </is>
      </c>
    </row>
    <row r="281">
      <c r="A281" t="inlineStr">
        <is>
          <t>revenue_subscription</t>
        </is>
      </c>
      <c r="B281" t="inlineStr">
        <is>
          <t>Q1 FY25</t>
        </is>
      </c>
      <c r="C281" t="inlineStr">
        <is>
          <t>2024-04-30</t>
        </is>
      </c>
      <c r="D281" t="n">
        <v>436896000</v>
      </c>
      <c r="E281" t="inlineStr">
        <is>
          <t>reported_3m</t>
        </is>
      </c>
      <c r="F281" t="inlineStr">
        <is>
          <t>0001441816-25-000118</t>
        </is>
      </c>
      <c r="G281" t="inlineStr">
        <is>
          <t>2025-06-04</t>
        </is>
      </c>
    </row>
    <row r="282">
      <c r="A282" t="inlineStr">
        <is>
          <t>revenue_subscription</t>
        </is>
      </c>
      <c r="B282" t="inlineStr">
        <is>
          <t>Q2 FY25</t>
        </is>
      </c>
      <c r="C282" t="inlineStr">
        <is>
          <t>2024-07-31</t>
        </is>
      </c>
      <c r="D282" t="n">
        <v>463805000</v>
      </c>
      <c r="E282" t="inlineStr">
        <is>
          <t>reported_3m</t>
        </is>
      </c>
      <c r="F282" t="inlineStr">
        <is>
          <t>0001441816-25-000181</t>
        </is>
      </c>
      <c r="G282" t="inlineStr">
        <is>
          <t>2025-08-27</t>
        </is>
      </c>
    </row>
    <row r="283">
      <c r="A283" t="inlineStr">
        <is>
          <t>revenue_subscription</t>
        </is>
      </c>
      <c r="B283" t="inlineStr">
        <is>
          <t>Q3 FY25</t>
        </is>
      </c>
      <c r="C283" t="inlineStr">
        <is>
          <t>2024-10-31</t>
        </is>
      </c>
      <c r="D283" t="n">
        <v>512205000</v>
      </c>
      <c r="E283" t="inlineStr">
        <is>
          <t>reported_3m</t>
        </is>
      </c>
      <c r="F283" t="inlineStr">
        <is>
          <t>0001441816-24-000260</t>
        </is>
      </c>
      <c r="G283" t="inlineStr">
        <is>
          <t>2024-12-10</t>
        </is>
      </c>
    </row>
    <row r="284">
      <c r="A284" t="inlineStr">
        <is>
          <t>revenue_subscription</t>
        </is>
      </c>
      <c r="B284" t="inlineStr">
        <is>
          <t>Q4 FY25</t>
        </is>
      </c>
      <c r="C284" t="inlineStr">
        <is>
          <t>2025-01-31</t>
        </is>
      </c>
      <c r="D284" t="n">
        <v>530958000</v>
      </c>
      <c r="E284" t="inlineStr">
        <is>
          <t>fy_minus_9m</t>
        </is>
      </c>
      <c r="F284" t="inlineStr">
        <is>
          <t>0001441816-25-000057 - 0001441816-24-000260</t>
        </is>
      </c>
      <c r="G284" t="inlineStr">
        <is>
          <t>2025-03-21</t>
        </is>
      </c>
    </row>
    <row r="285">
      <c r="A285" t="inlineStr">
        <is>
          <t>revenue_subscription</t>
        </is>
      </c>
      <c r="B285" t="inlineStr">
        <is>
          <t>Q1 FY26</t>
        </is>
      </c>
      <c r="C285" t="inlineStr">
        <is>
          <t>2025-04-30</t>
        </is>
      </c>
      <c r="D285" t="n">
        <v>531455000</v>
      </c>
      <c r="E285" t="inlineStr">
        <is>
          <t>reported_3m</t>
        </is>
      </c>
      <c r="F285" t="inlineStr">
        <is>
          <t>0001441816-25-000118</t>
        </is>
      </c>
      <c r="G285" t="inlineStr">
        <is>
          <t>2025-06-04</t>
        </is>
      </c>
    </row>
    <row r="286">
      <c r="A286" t="inlineStr">
        <is>
          <t>revenue_subscription</t>
        </is>
      </c>
      <c r="B286" t="inlineStr">
        <is>
          <t>Q2 FY26</t>
        </is>
      </c>
      <c r="C286" t="inlineStr">
        <is>
          <t>2025-07-31</t>
        </is>
      </c>
      <c r="D286" t="n">
        <v>572355000</v>
      </c>
      <c r="E286" t="inlineStr">
        <is>
          <t>reported_3m</t>
        </is>
      </c>
      <c r="F286" t="inlineStr">
        <is>
          <t>0001441816-25-000181</t>
        </is>
      </c>
      <c r="G286" t="inlineStr">
        <is>
          <t>2025-08-27</t>
        </is>
      </c>
    </row>
    <row r="287">
      <c r="A287" t="inlineStr">
        <is>
          <t>rnd</t>
        </is>
      </c>
      <c r="B287" t="inlineStr">
        <is>
          <t>Q4 FY22</t>
        </is>
      </c>
      <c r="C287" t="inlineStr">
        <is>
          <t>2022-01-31</t>
        </is>
      </c>
      <c r="D287" t="n">
        <v>89417000</v>
      </c>
      <c r="E287" t="inlineStr">
        <is>
          <t>fy_minus_9m</t>
        </is>
      </c>
      <c r="F287" t="inlineStr">
        <is>
          <t>0001441816-24-000049 - 0001441816-22-000193</t>
        </is>
      </c>
      <c r="G287" t="inlineStr">
        <is>
          <t>2024-03-15</t>
        </is>
      </c>
    </row>
    <row r="288">
      <c r="A288" t="inlineStr">
        <is>
          <t>rnd</t>
        </is>
      </c>
      <c r="B288" t="inlineStr">
        <is>
          <t>Q1 FY23</t>
        </is>
      </c>
      <c r="C288" t="inlineStr">
        <is>
          <t>2022-04-30</t>
        </is>
      </c>
      <c r="D288" t="n">
        <v>96372000</v>
      </c>
      <c r="E288" t="inlineStr">
        <is>
          <t>reported_3m</t>
        </is>
      </c>
      <c r="F288" t="inlineStr">
        <is>
          <t>0001441816-23-000087</t>
        </is>
      </c>
      <c r="G288" t="inlineStr">
        <is>
          <t>2023-06-02</t>
        </is>
      </c>
    </row>
    <row r="289">
      <c r="A289" t="inlineStr">
        <is>
          <t>rnd</t>
        </is>
      </c>
      <c r="B289" t="inlineStr">
        <is>
          <t>Q2 FY23</t>
        </is>
      </c>
      <c r="C289" t="inlineStr">
        <is>
          <t>2022-07-31</t>
        </is>
      </c>
      <c r="D289" t="n">
        <v>108037000</v>
      </c>
      <c r="E289" t="inlineStr">
        <is>
          <t>reported_3m</t>
        </is>
      </c>
      <c r="F289" t="inlineStr">
        <is>
          <t>0001441816-23-000168</t>
        </is>
      </c>
      <c r="G289" t="inlineStr">
        <is>
          <t>2023-09-01</t>
        </is>
      </c>
    </row>
    <row r="290">
      <c r="A290" t="inlineStr">
        <is>
          <t>rnd</t>
        </is>
      </c>
      <c r="B290" t="inlineStr">
        <is>
          <t>Q3 FY23</t>
        </is>
      </c>
      <c r="C290" t="inlineStr">
        <is>
          <t>2022-10-31</t>
        </is>
      </c>
      <c r="D290" t="n">
        <v>106392000</v>
      </c>
      <c r="E290" t="inlineStr">
        <is>
          <t>reported_3m</t>
        </is>
      </c>
      <c r="F290" t="inlineStr">
        <is>
          <t>0001441816-23-000248</t>
        </is>
      </c>
      <c r="G290" t="inlineStr">
        <is>
          <t>2023-12-07</t>
        </is>
      </c>
    </row>
    <row r="291">
      <c r="A291" t="inlineStr">
        <is>
          <t>rnd</t>
        </is>
      </c>
      <c r="B291" t="inlineStr">
        <is>
          <t>Q4 FY23</t>
        </is>
      </c>
      <c r="C291" t="inlineStr">
        <is>
          <t>2023-01-31</t>
        </is>
      </c>
      <c r="D291" t="n">
        <v>110891000</v>
      </c>
      <c r="E291" t="inlineStr">
        <is>
          <t>fy_minus_9m</t>
        </is>
      </c>
      <c r="F291" t="inlineStr">
        <is>
          <t>0001441816-25-000057 - 0001441816-23-000248</t>
        </is>
      </c>
      <c r="G291" t="inlineStr">
        <is>
          <t>2025-03-21</t>
        </is>
      </c>
    </row>
    <row r="292">
      <c r="A292" t="inlineStr">
        <is>
          <t>rnd</t>
        </is>
      </c>
      <c r="B292" t="inlineStr">
        <is>
          <t>Q1 FY24</t>
        </is>
      </c>
      <c r="C292" t="inlineStr">
        <is>
          <t>2023-04-30</t>
        </is>
      </c>
      <c r="D292" t="n">
        <v>116817000</v>
      </c>
      <c r="E292" t="inlineStr">
        <is>
          <t>reported_3m</t>
        </is>
      </c>
      <c r="F292" t="inlineStr">
        <is>
          <t>0001441816-24-000111</t>
        </is>
      </c>
      <c r="G292" t="inlineStr">
        <is>
          <t>2024-05-31</t>
        </is>
      </c>
    </row>
    <row r="293">
      <c r="A293" t="inlineStr">
        <is>
          <t>rnd</t>
        </is>
      </c>
      <c r="B293" t="inlineStr">
        <is>
          <t>Q2 FY24</t>
        </is>
      </c>
      <c r="C293" t="inlineStr">
        <is>
          <t>2023-07-31</t>
        </is>
      </c>
      <c r="D293" t="n">
        <v>125420000</v>
      </c>
      <c r="E293" t="inlineStr">
        <is>
          <t>reported_3m</t>
        </is>
      </c>
      <c r="F293" t="inlineStr">
        <is>
          <t>0001441816-24-000188</t>
        </is>
      </c>
      <c r="G293" t="inlineStr">
        <is>
          <t>2024-08-30</t>
        </is>
      </c>
    </row>
    <row r="294">
      <c r="A294" t="inlineStr">
        <is>
          <t>rnd</t>
        </is>
      </c>
      <c r="B294" t="inlineStr">
        <is>
          <t>Q3 FY24</t>
        </is>
      </c>
      <c r="C294" t="inlineStr">
        <is>
          <t>2023-10-31</t>
        </is>
      </c>
      <c r="D294" t="n">
        <v>128150000</v>
      </c>
      <c r="E294" t="inlineStr">
        <is>
          <t>reported_3m</t>
        </is>
      </c>
      <c r="F294" t="inlineStr">
        <is>
          <t>0001441816-24-000260</t>
        </is>
      </c>
      <c r="G294" t="inlineStr">
        <is>
          <t>2024-12-10</t>
        </is>
      </c>
    </row>
    <row r="295">
      <c r="A295" t="inlineStr">
        <is>
          <t>rnd</t>
        </is>
      </c>
      <c r="B295" t="inlineStr">
        <is>
          <t>Q4 FY24</t>
        </is>
      </c>
      <c r="C295" t="inlineStr">
        <is>
          <t>2024-01-31</t>
        </is>
      </c>
      <c r="D295" t="n">
        <v>145553000</v>
      </c>
      <c r="E295" t="inlineStr">
        <is>
          <t>fy_minus_9m</t>
        </is>
      </c>
      <c r="F295" t="inlineStr">
        <is>
          <t>0001441816-25-000057 - 0001441816-24-000260</t>
        </is>
      </c>
      <c r="G295" t="inlineStr">
        <is>
          <t>2025-03-21</t>
        </is>
      </c>
    </row>
    <row r="296">
      <c r="A296" t="inlineStr">
        <is>
          <t>rnd</t>
        </is>
      </c>
      <c r="B296" t="inlineStr">
        <is>
          <t>Q1 FY25</t>
        </is>
      </c>
      <c r="C296" t="inlineStr">
        <is>
          <t>2024-04-30</t>
        </is>
      </c>
      <c r="D296" t="n">
        <v>146060000</v>
      </c>
      <c r="E296" t="inlineStr">
        <is>
          <t>reported_3m</t>
        </is>
      </c>
      <c r="F296" t="inlineStr">
        <is>
          <t>0001441816-25-000118</t>
        </is>
      </c>
      <c r="G296" t="inlineStr">
        <is>
          <t>2025-06-04</t>
        </is>
      </c>
    </row>
    <row r="297">
      <c r="A297" t="inlineStr">
        <is>
          <t>rnd</t>
        </is>
      </c>
      <c r="B297" t="inlineStr">
        <is>
          <t>Q2 FY25</t>
        </is>
      </c>
      <c r="C297" t="inlineStr">
        <is>
          <t>2024-07-31</t>
        </is>
      </c>
      <c r="D297" t="n">
        <v>148967000</v>
      </c>
      <c r="E297" t="inlineStr">
        <is>
          <t>reported_3m</t>
        </is>
      </c>
      <c r="F297" t="inlineStr">
        <is>
          <t>0001441816-25-000181</t>
        </is>
      </c>
      <c r="G297" t="inlineStr">
        <is>
          <t>2025-08-27</t>
        </is>
      </c>
    </row>
    <row r="298">
      <c r="A298" t="inlineStr">
        <is>
          <t>rnd</t>
        </is>
      </c>
      <c r="B298" t="inlineStr">
        <is>
          <t>Q3 FY25</t>
        </is>
      </c>
      <c r="C298" t="inlineStr">
        <is>
          <t>2024-10-31</t>
        </is>
      </c>
      <c r="D298" t="n">
        <v>151410000</v>
      </c>
      <c r="E298" t="inlineStr">
        <is>
          <t>reported_3m</t>
        </is>
      </c>
      <c r="F298" t="inlineStr">
        <is>
          <t>0001441816-24-000260</t>
        </is>
      </c>
      <c r="G298" t="inlineStr">
        <is>
          <t>2024-12-10</t>
        </is>
      </c>
    </row>
    <row r="299">
      <c r="A299" t="inlineStr">
        <is>
          <t>rnd</t>
        </is>
      </c>
      <c r="B299" t="inlineStr">
        <is>
          <t>Q4 FY25</t>
        </is>
      </c>
      <c r="C299" t="inlineStr">
        <is>
          <t>2025-01-31</t>
        </is>
      </c>
      <c r="D299" t="n">
        <v>150400000</v>
      </c>
      <c r="E299" t="inlineStr">
        <is>
          <t>fy_minus_9m</t>
        </is>
      </c>
      <c r="F299" t="inlineStr">
        <is>
          <t>0001441816-25-000057 - 0001441816-24-000260</t>
        </is>
      </c>
      <c r="G299" t="inlineStr">
        <is>
          <t>2025-03-21</t>
        </is>
      </c>
    </row>
    <row r="300">
      <c r="A300" t="inlineStr">
        <is>
          <t>rnd</t>
        </is>
      </c>
      <c r="B300" t="inlineStr">
        <is>
          <t>Q1 FY26</t>
        </is>
      </c>
      <c r="C300" t="inlineStr">
        <is>
          <t>2025-04-30</t>
        </is>
      </c>
      <c r="D300" t="n">
        <v>168829000</v>
      </c>
      <c r="E300" t="inlineStr">
        <is>
          <t>reported_3m</t>
        </is>
      </c>
      <c r="F300" t="inlineStr">
        <is>
          <t>0001441816-25-000118</t>
        </is>
      </c>
      <c r="G300" t="inlineStr">
        <is>
          <t>2025-06-04</t>
        </is>
      </c>
    </row>
    <row r="301">
      <c r="A301" t="inlineStr">
        <is>
          <t>rnd</t>
        </is>
      </c>
      <c r="B301" t="inlineStr">
        <is>
          <t>Q2 FY26</t>
        </is>
      </c>
      <c r="C301" t="inlineStr">
        <is>
          <t>2025-07-31</t>
        </is>
      </c>
      <c r="D301" t="n">
        <v>181739000</v>
      </c>
      <c r="E301" t="inlineStr">
        <is>
          <t>reported_3m</t>
        </is>
      </c>
      <c r="F301" t="inlineStr">
        <is>
          <t>0001441816-25-000181</t>
        </is>
      </c>
      <c r="G301" t="inlineStr">
        <is>
          <t>2025-08-27</t>
        </is>
      </c>
    </row>
    <row r="302">
      <c r="A302" t="inlineStr">
        <is>
          <t>rpo</t>
        </is>
      </c>
      <c r="B302" t="inlineStr">
        <is>
          <t>Q2 FY23</t>
        </is>
      </c>
      <c r="C302" t="inlineStr">
        <is>
          <t>2022-07-31</t>
        </is>
      </c>
      <c r="D302" t="n">
        <v>400200000</v>
      </c>
      <c r="E302" t="inlineStr">
        <is>
          <t>reported_instant</t>
        </is>
      </c>
      <c r="F302" t="inlineStr">
        <is>
          <t>0001441816-22-000164</t>
        </is>
      </c>
      <c r="G302" t="inlineStr">
        <is>
          <t>2022-09-02</t>
        </is>
      </c>
    </row>
    <row r="303">
      <c r="A303" t="inlineStr">
        <is>
          <t>rpo</t>
        </is>
      </c>
      <c r="B303" t="inlineStr">
        <is>
          <t>Q3 FY23</t>
        </is>
      </c>
      <c r="C303" t="inlineStr">
        <is>
          <t>2022-10-31</t>
        </is>
      </c>
      <c r="D303" t="n">
        <v>414300000</v>
      </c>
      <c r="E303" t="inlineStr">
        <is>
          <t>reported_instant</t>
        </is>
      </c>
      <c r="F303" t="inlineStr">
        <is>
          <t>0001441816-22-000193</t>
        </is>
      </c>
      <c r="G303" t="inlineStr">
        <is>
          <t>2022-12-08</t>
        </is>
      </c>
    </row>
    <row r="304">
      <c r="A304" t="inlineStr">
        <is>
          <t>rpo</t>
        </is>
      </c>
      <c r="B304" t="inlineStr">
        <is>
          <t>Q4 FY23</t>
        </is>
      </c>
      <c r="C304" t="inlineStr">
        <is>
          <t>2023-01-31</t>
        </is>
      </c>
      <c r="D304" t="n">
        <v>461100000</v>
      </c>
      <c r="E304" t="inlineStr">
        <is>
          <t>reported_instant</t>
        </is>
      </c>
      <c r="F304" t="inlineStr">
        <is>
          <t>0001441816-23-000027</t>
        </is>
      </c>
      <c r="G304" t="inlineStr">
        <is>
          <t>2023-03-17</t>
        </is>
      </c>
    </row>
    <row r="305">
      <c r="A305" t="inlineStr">
        <is>
          <t>rpo</t>
        </is>
      </c>
      <c r="B305" t="inlineStr">
        <is>
          <t>Q1 FY24</t>
        </is>
      </c>
      <c r="C305" t="inlineStr">
        <is>
          <t>2023-04-30</t>
        </is>
      </c>
      <c r="D305" t="n">
        <v>470700000</v>
      </c>
      <c r="E305" t="inlineStr">
        <is>
          <t>reported_instant</t>
        </is>
      </c>
      <c r="F305" t="inlineStr">
        <is>
          <t>0001441816-23-000087</t>
        </is>
      </c>
      <c r="G305" t="inlineStr">
        <is>
          <t>2023-06-02</t>
        </is>
      </c>
    </row>
    <row r="306">
      <c r="A306" t="inlineStr">
        <is>
          <t>rpo</t>
        </is>
      </c>
      <c r="B306" t="inlineStr">
        <is>
          <t>Q2 FY24</t>
        </is>
      </c>
      <c r="C306" t="inlineStr">
        <is>
          <t>2023-07-31</t>
        </is>
      </c>
      <c r="D306" t="n">
        <v>481500000</v>
      </c>
      <c r="E306" t="inlineStr">
        <is>
          <t>reported_instant</t>
        </is>
      </c>
      <c r="F306" t="inlineStr">
        <is>
          <t>0001441816-23-000168</t>
        </is>
      </c>
      <c r="G306" t="inlineStr">
        <is>
          <t>2023-09-01</t>
        </is>
      </c>
    </row>
    <row r="307">
      <c r="A307" t="inlineStr">
        <is>
          <t>rpo</t>
        </is>
      </c>
      <c r="B307" t="inlineStr">
        <is>
          <t>Q3 FY24</t>
        </is>
      </c>
      <c r="C307" t="inlineStr">
        <is>
          <t>2023-10-31</t>
        </is>
      </c>
      <c r="D307" t="n">
        <v>514100000</v>
      </c>
      <c r="E307" t="inlineStr">
        <is>
          <t>reported_instant</t>
        </is>
      </c>
      <c r="F307" t="inlineStr">
        <is>
          <t>0001441816-23-000248</t>
        </is>
      </c>
      <c r="G307" t="inlineStr">
        <is>
          <t>2023-12-07</t>
        </is>
      </c>
    </row>
    <row r="308">
      <c r="A308" t="inlineStr">
        <is>
          <t>rpo</t>
        </is>
      </c>
      <c r="B308" t="inlineStr">
        <is>
          <t>Q4 FY24</t>
        </is>
      </c>
      <c r="C308" t="inlineStr">
        <is>
          <t>2024-01-31</t>
        </is>
      </c>
      <c r="D308" t="n">
        <v>591400000</v>
      </c>
      <c r="E308" t="inlineStr">
        <is>
          <t>reported_instant</t>
        </is>
      </c>
      <c r="F308" t="inlineStr">
        <is>
          <t>0001441816-24-000049</t>
        </is>
      </c>
      <c r="G308" t="inlineStr">
        <is>
          <t>2024-03-15</t>
        </is>
      </c>
    </row>
    <row r="309">
      <c r="A309" t="inlineStr">
        <is>
          <t>rpo</t>
        </is>
      </c>
      <c r="B309" t="inlineStr">
        <is>
          <t>Q1 FY25</t>
        </is>
      </c>
      <c r="C309" t="inlineStr">
        <is>
          <t>2024-04-30</t>
        </is>
      </c>
      <c r="D309" t="n">
        <v>586500000</v>
      </c>
      <c r="E309" t="inlineStr">
        <is>
          <t>reported_instant</t>
        </is>
      </c>
      <c r="F309" t="inlineStr">
        <is>
          <t>0001441816-24-000111</t>
        </is>
      </c>
      <c r="G309" t="inlineStr">
        <is>
          <t>2024-05-31</t>
        </is>
      </c>
    </row>
    <row r="310">
      <c r="A310" t="inlineStr">
        <is>
          <t>rpo</t>
        </is>
      </c>
      <c r="B310" t="inlineStr">
        <is>
          <t>Q2 FY25</t>
        </is>
      </c>
      <c r="C310" t="inlineStr">
        <is>
          <t>2024-07-31</t>
        </is>
      </c>
      <c r="D310" t="n">
        <v>694000000</v>
      </c>
      <c r="E310" t="inlineStr">
        <is>
          <t>reported_instant</t>
        </is>
      </c>
      <c r="F310" t="inlineStr">
        <is>
          <t>0001441816-24-000188</t>
        </is>
      </c>
      <c r="G310" t="inlineStr">
        <is>
          <t>2024-08-30</t>
        </is>
      </c>
    </row>
    <row r="311">
      <c r="A311" t="inlineStr">
        <is>
          <t>rpo</t>
        </is>
      </c>
      <c r="B311" t="inlineStr">
        <is>
          <t>Q3 FY25</t>
        </is>
      </c>
      <c r="C311" t="inlineStr">
        <is>
          <t>2024-10-31</t>
        </is>
      </c>
      <c r="D311" t="n">
        <v>728000000</v>
      </c>
      <c r="E311" t="inlineStr">
        <is>
          <t>reported_instant</t>
        </is>
      </c>
      <c r="F311" t="inlineStr">
        <is>
          <t>0001441816-24-000260</t>
        </is>
      </c>
      <c r="G311" t="inlineStr">
        <is>
          <t>2024-12-10</t>
        </is>
      </c>
    </row>
    <row r="312">
      <c r="A312" t="inlineStr">
        <is>
          <t>rpo</t>
        </is>
      </c>
      <c r="B312" t="inlineStr">
        <is>
          <t>Q4 FY25</t>
        </is>
      </c>
      <c r="C312" t="inlineStr">
        <is>
          <t>2025-01-31</t>
        </is>
      </c>
      <c r="D312" t="n">
        <v>748000000</v>
      </c>
      <c r="E312" t="inlineStr">
        <is>
          <t>reported_instant</t>
        </is>
      </c>
      <c r="F312" t="inlineStr">
        <is>
          <t>0001441816-25-000057</t>
        </is>
      </c>
      <c r="G312" t="inlineStr">
        <is>
          <t>2025-03-21</t>
        </is>
      </c>
    </row>
    <row r="313">
      <c r="A313" t="inlineStr">
        <is>
          <t>rpo</t>
        </is>
      </c>
      <c r="B313" t="inlineStr">
        <is>
          <t>Q1 FY26</t>
        </is>
      </c>
      <c r="C313" t="inlineStr">
        <is>
          <t>2025-04-30</t>
        </is>
      </c>
      <c r="D313" t="n">
        <v>774300000</v>
      </c>
      <c r="E313" t="inlineStr">
        <is>
          <t>reported_instant</t>
        </is>
      </c>
      <c r="F313" t="inlineStr">
        <is>
          <t>0001441816-25-000118</t>
        </is>
      </c>
      <c r="G313" t="inlineStr">
        <is>
          <t>2025-06-04</t>
        </is>
      </c>
    </row>
    <row r="314">
      <c r="A314" t="inlineStr">
        <is>
          <t>rpo</t>
        </is>
      </c>
      <c r="B314" t="inlineStr">
        <is>
          <t>Q2 FY26</t>
        </is>
      </c>
      <c r="C314" t="inlineStr">
        <is>
          <t>2025-07-31</t>
        </is>
      </c>
      <c r="D314" t="n">
        <v>794200000</v>
      </c>
      <c r="E314" t="inlineStr">
        <is>
          <t>reported_instant</t>
        </is>
      </c>
      <c r="F314" t="inlineStr">
        <is>
          <t>0001441816-25-000181</t>
        </is>
      </c>
      <c r="G314" t="inlineStr">
        <is>
          <t>2025-08-27</t>
        </is>
      </c>
    </row>
    <row r="315">
      <c r="A315" t="inlineStr">
        <is>
          <t>sbc_cost_services</t>
        </is>
      </c>
      <c r="B315" t="inlineStr">
        <is>
          <t>Q4 FY22</t>
        </is>
      </c>
      <c r="C315" t="inlineStr">
        <is>
          <t>2022-01-31</t>
        </is>
      </c>
      <c r="D315" t="n">
        <v>1852000</v>
      </c>
      <c r="E315" t="inlineStr">
        <is>
          <t>fy_minus_9m</t>
        </is>
      </c>
      <c r="F315" t="inlineStr">
        <is>
          <t>0001441816-24-000049 - 0001441816-22-000193</t>
        </is>
      </c>
      <c r="G315" t="inlineStr">
        <is>
          <t>2024-03-15</t>
        </is>
      </c>
    </row>
    <row r="316">
      <c r="A316" t="inlineStr">
        <is>
          <t>sbc_cost_services</t>
        </is>
      </c>
      <c r="B316" t="inlineStr">
        <is>
          <t>Q1 FY23</t>
        </is>
      </c>
      <c r="C316" t="inlineStr">
        <is>
          <t>2022-04-30</t>
        </is>
      </c>
      <c r="D316" t="n">
        <v>2212000</v>
      </c>
      <c r="E316" t="inlineStr">
        <is>
          <t>reported_3m</t>
        </is>
      </c>
      <c r="F316" t="inlineStr">
        <is>
          <t>0001441816-23-000087</t>
        </is>
      </c>
      <c r="G316" t="inlineStr">
        <is>
          <t>2023-06-02</t>
        </is>
      </c>
    </row>
    <row r="317">
      <c r="A317" t="inlineStr">
        <is>
          <t>sbc_cost_services</t>
        </is>
      </c>
      <c r="B317" t="inlineStr">
        <is>
          <t>Q2 FY23</t>
        </is>
      </c>
      <c r="C317" t="inlineStr">
        <is>
          <t>2022-07-31</t>
        </is>
      </c>
      <c r="D317" t="n">
        <v>2560000</v>
      </c>
      <c r="E317" t="inlineStr">
        <is>
          <t>reported_3m</t>
        </is>
      </c>
      <c r="F317" t="inlineStr">
        <is>
          <t>0001441816-23-000168</t>
        </is>
      </c>
      <c r="G317" t="inlineStr">
        <is>
          <t>2023-09-01</t>
        </is>
      </c>
    </row>
    <row r="318">
      <c r="A318" t="inlineStr">
        <is>
          <t>sbc_cost_services</t>
        </is>
      </c>
      <c r="B318" t="inlineStr">
        <is>
          <t>Q3 FY23</t>
        </is>
      </c>
      <c r="C318" t="inlineStr">
        <is>
          <t>2022-10-31</t>
        </is>
      </c>
      <c r="D318" t="n">
        <v>2827000</v>
      </c>
      <c r="E318" t="inlineStr">
        <is>
          <t>reported_3m</t>
        </is>
      </c>
      <c r="F318" t="inlineStr">
        <is>
          <t>0001441816-23-000248</t>
        </is>
      </c>
      <c r="G318" t="inlineStr">
        <is>
          <t>2023-12-07</t>
        </is>
      </c>
    </row>
    <row r="319">
      <c r="A319" t="inlineStr">
        <is>
          <t>sbc_cost_services</t>
        </is>
      </c>
      <c r="B319" t="inlineStr">
        <is>
          <t>Q4 FY23</t>
        </is>
      </c>
      <c r="C319" t="inlineStr">
        <is>
          <t>2023-01-31</t>
        </is>
      </c>
      <c r="D319" t="n">
        <v>2966000</v>
      </c>
      <c r="E319" t="inlineStr">
        <is>
          <t>fy_minus_9m</t>
        </is>
      </c>
      <c r="F319" t="inlineStr">
        <is>
          <t>0001441816-25-000057 - 0001441816-23-000248</t>
        </is>
      </c>
      <c r="G319" t="inlineStr">
        <is>
          <t>2025-03-21</t>
        </is>
      </c>
    </row>
    <row r="320">
      <c r="A320" t="inlineStr">
        <is>
          <t>sbc_cost_services</t>
        </is>
      </c>
      <c r="B320" t="inlineStr">
        <is>
          <t>Q1 FY24</t>
        </is>
      </c>
      <c r="C320" t="inlineStr">
        <is>
          <t>2023-04-30</t>
        </is>
      </c>
      <c r="D320" t="n">
        <v>2948000</v>
      </c>
      <c r="E320" t="inlineStr">
        <is>
          <t>reported_3m</t>
        </is>
      </c>
      <c r="F320" t="inlineStr">
        <is>
          <t>0001441816-24-000111</t>
        </is>
      </c>
      <c r="G320" t="inlineStr">
        <is>
          <t>2024-05-31</t>
        </is>
      </c>
    </row>
    <row r="321">
      <c r="A321" t="inlineStr">
        <is>
          <t>sbc_cost_services</t>
        </is>
      </c>
      <c r="B321" t="inlineStr">
        <is>
          <t>Q2 FY24</t>
        </is>
      </c>
      <c r="C321" t="inlineStr">
        <is>
          <t>2023-07-31</t>
        </is>
      </c>
      <c r="D321" t="n">
        <v>3342000</v>
      </c>
      <c r="E321" t="inlineStr">
        <is>
          <t>reported_3m</t>
        </is>
      </c>
      <c r="F321" t="inlineStr">
        <is>
          <t>0001441816-24-000188</t>
        </is>
      </c>
      <c r="G321" t="inlineStr">
        <is>
          <t>2024-08-30</t>
        </is>
      </c>
    </row>
    <row r="322">
      <c r="A322" t="inlineStr">
        <is>
          <t>sbc_cost_services</t>
        </is>
      </c>
      <c r="B322" t="inlineStr">
        <is>
          <t>Q3 FY24</t>
        </is>
      </c>
      <c r="C322" t="inlineStr">
        <is>
          <t>2023-10-31</t>
        </is>
      </c>
      <c r="D322" t="n">
        <v>3200000</v>
      </c>
      <c r="E322" t="inlineStr">
        <is>
          <t>reported_3m</t>
        </is>
      </c>
      <c r="F322" t="inlineStr">
        <is>
          <t>0001441816-24-000260</t>
        </is>
      </c>
      <c r="G322" t="inlineStr">
        <is>
          <t>2024-12-10</t>
        </is>
      </c>
    </row>
    <row r="323">
      <c r="A323" t="inlineStr">
        <is>
          <t>sbc_cost_services</t>
        </is>
      </c>
      <c r="B323" t="inlineStr">
        <is>
          <t>Q4 FY24</t>
        </is>
      </c>
      <c r="C323" t="inlineStr">
        <is>
          <t>2024-01-31</t>
        </is>
      </c>
      <c r="D323" t="n">
        <v>3243000</v>
      </c>
      <c r="E323" t="inlineStr">
        <is>
          <t>fy_minus_9m</t>
        </is>
      </c>
      <c r="F323" t="inlineStr">
        <is>
          <t>0001441816-25-000057 - 0001441816-24-000260</t>
        </is>
      </c>
      <c r="G323" t="inlineStr">
        <is>
          <t>2025-03-21</t>
        </is>
      </c>
    </row>
    <row r="324">
      <c r="A324" t="inlineStr">
        <is>
          <t>sbc_cost_services</t>
        </is>
      </c>
      <c r="B324" t="inlineStr">
        <is>
          <t>Q1 FY25</t>
        </is>
      </c>
      <c r="C324" t="inlineStr">
        <is>
          <t>2024-04-30</t>
        </is>
      </c>
      <c r="D324" t="n">
        <v>3255000</v>
      </c>
      <c r="E324" t="inlineStr">
        <is>
          <t>reported_3m</t>
        </is>
      </c>
      <c r="F324" t="inlineStr">
        <is>
          <t>0001441816-25-000118</t>
        </is>
      </c>
      <c r="G324" t="inlineStr">
        <is>
          <t>2025-06-04</t>
        </is>
      </c>
    </row>
    <row r="325">
      <c r="A325" t="inlineStr">
        <is>
          <t>sbc_cost_services</t>
        </is>
      </c>
      <c r="B325" t="inlineStr">
        <is>
          <t>Q2 FY25</t>
        </is>
      </c>
      <c r="C325" t="inlineStr">
        <is>
          <t>2024-07-31</t>
        </is>
      </c>
      <c r="D325" t="n">
        <v>3401000</v>
      </c>
      <c r="E325" t="inlineStr">
        <is>
          <t>reported_3m</t>
        </is>
      </c>
      <c r="F325" t="inlineStr">
        <is>
          <t>0001441816-25-000181</t>
        </is>
      </c>
      <c r="G325" t="inlineStr">
        <is>
          <t>2025-08-27</t>
        </is>
      </c>
    </row>
    <row r="326">
      <c r="A326" t="inlineStr">
        <is>
          <t>sbc_cost_services</t>
        </is>
      </c>
      <c r="B326" t="inlineStr">
        <is>
          <t>Q3 FY25</t>
        </is>
      </c>
      <c r="C326" t="inlineStr">
        <is>
          <t>2024-10-31</t>
        </is>
      </c>
      <c r="D326" t="n">
        <v>3495000</v>
      </c>
      <c r="E326" t="inlineStr">
        <is>
          <t>reported_3m</t>
        </is>
      </c>
      <c r="F326" t="inlineStr">
        <is>
          <t>0001441816-24-000260</t>
        </is>
      </c>
      <c r="G326" t="inlineStr">
        <is>
          <t>2024-12-10</t>
        </is>
      </c>
    </row>
    <row r="327">
      <c r="A327" t="inlineStr">
        <is>
          <t>sbc_cost_services</t>
        </is>
      </c>
      <c r="B327" t="inlineStr">
        <is>
          <t>Q4 FY25</t>
        </is>
      </c>
      <c r="C327" t="inlineStr">
        <is>
          <t>2025-01-31</t>
        </is>
      </c>
      <c r="D327" t="n">
        <v>3766000</v>
      </c>
      <c r="E327" t="inlineStr">
        <is>
          <t>fy_minus_9m</t>
        </is>
      </c>
      <c r="F327" t="inlineStr">
        <is>
          <t>0001441816-25-000057 - 0001441816-24-000260</t>
        </is>
      </c>
      <c r="G327" t="inlineStr">
        <is>
          <t>2025-03-21</t>
        </is>
      </c>
    </row>
    <row r="328">
      <c r="A328" t="inlineStr">
        <is>
          <t>sbc_cost_services</t>
        </is>
      </c>
      <c r="B328" t="inlineStr">
        <is>
          <t>Q1 FY26</t>
        </is>
      </c>
      <c r="C328" t="inlineStr">
        <is>
          <t>2025-04-30</t>
        </is>
      </c>
      <c r="D328" t="n">
        <v>3894000</v>
      </c>
      <c r="E328" t="inlineStr">
        <is>
          <t>reported_3m</t>
        </is>
      </c>
      <c r="F328" t="inlineStr">
        <is>
          <t>0001441816-25-000118</t>
        </is>
      </c>
      <c r="G328" t="inlineStr">
        <is>
          <t>2025-06-04</t>
        </is>
      </c>
    </row>
    <row r="329">
      <c r="A329" t="inlineStr">
        <is>
          <t>sbc_cost_services</t>
        </is>
      </c>
      <c r="B329" t="inlineStr">
        <is>
          <t>Q2 FY26</t>
        </is>
      </c>
      <c r="C329" t="inlineStr">
        <is>
          <t>2025-07-31</t>
        </is>
      </c>
      <c r="D329" t="n">
        <v>4273000</v>
      </c>
      <c r="E329" t="inlineStr">
        <is>
          <t>reported_3m</t>
        </is>
      </c>
      <c r="F329" t="inlineStr">
        <is>
          <t>0001441816-25-000181</t>
        </is>
      </c>
      <c r="G329" t="inlineStr">
        <is>
          <t>2025-08-27</t>
        </is>
      </c>
    </row>
    <row r="330">
      <c r="A330" t="inlineStr">
        <is>
          <t>sbc_cost_subscription</t>
        </is>
      </c>
      <c r="B330" t="inlineStr">
        <is>
          <t>Q4 FY22</t>
        </is>
      </c>
      <c r="C330" t="inlineStr">
        <is>
          <t>2022-01-31</t>
        </is>
      </c>
      <c r="D330" t="n">
        <v>4065000</v>
      </c>
      <c r="E330" t="inlineStr">
        <is>
          <t>fy_minus_9m</t>
        </is>
      </c>
      <c r="F330" t="inlineStr">
        <is>
          <t>0001441816-24-000049 - 0001441816-22-000193</t>
        </is>
      </c>
      <c r="G330" t="inlineStr">
        <is>
          <t>2024-03-15</t>
        </is>
      </c>
    </row>
    <row r="331">
      <c r="A331" t="inlineStr">
        <is>
          <t>sbc_cost_subscription</t>
        </is>
      </c>
      <c r="B331" t="inlineStr">
        <is>
          <t>Q1 FY23</t>
        </is>
      </c>
      <c r="C331" t="inlineStr">
        <is>
          <t>2022-04-30</t>
        </is>
      </c>
      <c r="D331" t="n">
        <v>4467000</v>
      </c>
      <c r="E331" t="inlineStr">
        <is>
          <t>reported_3m</t>
        </is>
      </c>
      <c r="F331" t="inlineStr">
        <is>
          <t>0001441816-23-000087</t>
        </is>
      </c>
      <c r="G331" t="inlineStr">
        <is>
          <t>2023-06-02</t>
        </is>
      </c>
    </row>
    <row r="332">
      <c r="A332" t="inlineStr">
        <is>
          <t>sbc_cost_subscription</t>
        </is>
      </c>
      <c r="B332" t="inlineStr">
        <is>
          <t>Q2 FY23</t>
        </is>
      </c>
      <c r="C332" t="inlineStr">
        <is>
          <t>2022-07-31</t>
        </is>
      </c>
      <c r="D332" t="n">
        <v>5009000</v>
      </c>
      <c r="E332" t="inlineStr">
        <is>
          <t>reported_3m</t>
        </is>
      </c>
      <c r="F332" t="inlineStr">
        <is>
          <t>0001441816-23-000168</t>
        </is>
      </c>
      <c r="G332" t="inlineStr">
        <is>
          <t>2023-09-01</t>
        </is>
      </c>
    </row>
    <row r="333">
      <c r="A333" t="inlineStr">
        <is>
          <t>sbc_cost_subscription</t>
        </is>
      </c>
      <c r="B333" t="inlineStr">
        <is>
          <t>Q3 FY23</t>
        </is>
      </c>
      <c r="C333" t="inlineStr">
        <is>
          <t>2022-10-31</t>
        </is>
      </c>
      <c r="D333" t="n">
        <v>5016000</v>
      </c>
      <c r="E333" t="inlineStr">
        <is>
          <t>reported_3m</t>
        </is>
      </c>
      <c r="F333" t="inlineStr">
        <is>
          <t>0001441816-23-000248</t>
        </is>
      </c>
      <c r="G333" t="inlineStr">
        <is>
          <t>2023-12-07</t>
        </is>
      </c>
    </row>
    <row r="334">
      <c r="A334" t="inlineStr">
        <is>
          <t>sbc_cost_subscription</t>
        </is>
      </c>
      <c r="B334" t="inlineStr">
        <is>
          <t>Q4 FY23</t>
        </is>
      </c>
      <c r="C334" t="inlineStr">
        <is>
          <t>2023-01-31</t>
        </is>
      </c>
      <c r="D334" t="n">
        <v>5190000</v>
      </c>
      <c r="E334" t="inlineStr">
        <is>
          <t>fy_minus_9m</t>
        </is>
      </c>
      <c r="F334" t="inlineStr">
        <is>
          <t>0001441816-25-000057 - 0001441816-23-000248</t>
        </is>
      </c>
      <c r="G334" t="inlineStr">
        <is>
          <t>2025-03-21</t>
        </is>
      </c>
    </row>
    <row r="335">
      <c r="A335" t="inlineStr">
        <is>
          <t>sbc_cost_subscription</t>
        </is>
      </c>
      <c r="B335" t="inlineStr">
        <is>
          <t>Q1 FY24</t>
        </is>
      </c>
      <c r="C335" t="inlineStr">
        <is>
          <t>2023-04-30</t>
        </is>
      </c>
      <c r="D335" t="n">
        <v>5514000</v>
      </c>
      <c r="E335" t="inlineStr">
        <is>
          <t>reported_3m</t>
        </is>
      </c>
      <c r="F335" t="inlineStr">
        <is>
          <t>0001441816-24-000111</t>
        </is>
      </c>
      <c r="G335" t="inlineStr">
        <is>
          <t>2024-05-31</t>
        </is>
      </c>
    </row>
    <row r="336">
      <c r="A336" t="inlineStr">
        <is>
          <t>sbc_cost_subscription</t>
        </is>
      </c>
      <c r="B336" t="inlineStr">
        <is>
          <t>Q2 FY24</t>
        </is>
      </c>
      <c r="C336" t="inlineStr">
        <is>
          <t>2023-07-31</t>
        </is>
      </c>
      <c r="D336" t="n">
        <v>6075000</v>
      </c>
      <c r="E336" t="inlineStr">
        <is>
          <t>reported_3m</t>
        </is>
      </c>
      <c r="F336" t="inlineStr">
        <is>
          <t>0001441816-24-000188</t>
        </is>
      </c>
      <c r="G336" t="inlineStr">
        <is>
          <t>2024-08-30</t>
        </is>
      </c>
    </row>
    <row r="337">
      <c r="A337" t="inlineStr">
        <is>
          <t>sbc_cost_subscription</t>
        </is>
      </c>
      <c r="B337" t="inlineStr">
        <is>
          <t>Q3 FY24</t>
        </is>
      </c>
      <c r="C337" t="inlineStr">
        <is>
          <t>2023-10-31</t>
        </is>
      </c>
      <c r="D337" t="n">
        <v>6018000</v>
      </c>
      <c r="E337" t="inlineStr">
        <is>
          <t>reported_3m</t>
        </is>
      </c>
      <c r="F337" t="inlineStr">
        <is>
          <t>0001441816-24-000260</t>
        </is>
      </c>
      <c r="G337" t="inlineStr">
        <is>
          <t>2024-12-10</t>
        </is>
      </c>
    </row>
    <row r="338">
      <c r="A338" t="inlineStr">
        <is>
          <t>sbc_cost_subscription</t>
        </is>
      </c>
      <c r="B338" t="inlineStr">
        <is>
          <t>Q4 FY24</t>
        </is>
      </c>
      <c r="C338" t="inlineStr">
        <is>
          <t>2024-01-31</t>
        </is>
      </c>
      <c r="D338" t="n">
        <v>6070000</v>
      </c>
      <c r="E338" t="inlineStr">
        <is>
          <t>fy_minus_9m</t>
        </is>
      </c>
      <c r="F338" t="inlineStr">
        <is>
          <t>0001441816-25-000057 - 0001441816-24-000260</t>
        </is>
      </c>
      <c r="G338" t="inlineStr">
        <is>
          <t>2025-03-21</t>
        </is>
      </c>
    </row>
    <row r="339">
      <c r="A339" t="inlineStr">
        <is>
          <t>sbc_cost_subscription</t>
        </is>
      </c>
      <c r="B339" t="inlineStr">
        <is>
          <t>Q1 FY25</t>
        </is>
      </c>
      <c r="C339" t="inlineStr">
        <is>
          <t>2024-04-30</t>
        </is>
      </c>
      <c r="D339" t="n">
        <v>6163000</v>
      </c>
      <c r="E339" t="inlineStr">
        <is>
          <t>reported_3m</t>
        </is>
      </c>
      <c r="F339" t="inlineStr">
        <is>
          <t>0001441816-25-000118</t>
        </is>
      </c>
      <c r="G339" t="inlineStr">
        <is>
          <t>2025-06-04</t>
        </is>
      </c>
    </row>
    <row r="340">
      <c r="A340" t="inlineStr">
        <is>
          <t>sbc_cost_subscription</t>
        </is>
      </c>
      <c r="B340" t="inlineStr">
        <is>
          <t>Q2 FY25</t>
        </is>
      </c>
      <c r="C340" t="inlineStr">
        <is>
          <t>2024-07-31</t>
        </is>
      </c>
      <c r="D340" t="n">
        <v>7519000</v>
      </c>
      <c r="E340" t="inlineStr">
        <is>
          <t>reported_3m</t>
        </is>
      </c>
      <c r="F340" t="inlineStr">
        <is>
          <t>0001441816-25-000181</t>
        </is>
      </c>
      <c r="G340" t="inlineStr">
        <is>
          <t>2025-08-27</t>
        </is>
      </c>
    </row>
    <row r="341">
      <c r="A341" t="inlineStr">
        <is>
          <t>sbc_cost_subscription</t>
        </is>
      </c>
      <c r="B341" t="inlineStr">
        <is>
          <t>Q3 FY25</t>
        </is>
      </c>
      <c r="C341" t="inlineStr">
        <is>
          <t>2024-10-31</t>
        </is>
      </c>
      <c r="D341" t="n">
        <v>7884000</v>
      </c>
      <c r="E341" t="inlineStr">
        <is>
          <t>reported_3m</t>
        </is>
      </c>
      <c r="F341" t="inlineStr">
        <is>
          <t>0001441816-24-000260</t>
        </is>
      </c>
      <c r="G341" t="inlineStr">
        <is>
          <t>2024-12-10</t>
        </is>
      </c>
    </row>
    <row r="342">
      <c r="A342" t="inlineStr">
        <is>
          <t>sbc_cost_subscription</t>
        </is>
      </c>
      <c r="B342" t="inlineStr">
        <is>
          <t>Q4 FY25</t>
        </is>
      </c>
      <c r="C342" t="inlineStr">
        <is>
          <t>2025-01-31</t>
        </is>
      </c>
      <c r="D342" t="n">
        <v>7982000</v>
      </c>
      <c r="E342" t="inlineStr">
        <is>
          <t>fy_minus_9m</t>
        </is>
      </c>
      <c r="F342" t="inlineStr">
        <is>
          <t>0001441816-25-000057 - 0001441816-24-000260</t>
        </is>
      </c>
      <c r="G342" t="inlineStr">
        <is>
          <t>2025-03-21</t>
        </is>
      </c>
    </row>
    <row r="343">
      <c r="A343" t="inlineStr">
        <is>
          <t>sbc_cost_subscription</t>
        </is>
      </c>
      <c r="B343" t="inlineStr">
        <is>
          <t>Q1 FY26</t>
        </is>
      </c>
      <c r="C343" t="inlineStr">
        <is>
          <t>2025-04-30</t>
        </is>
      </c>
      <c r="D343" t="n">
        <v>8395000</v>
      </c>
      <c r="E343" t="inlineStr">
        <is>
          <t>reported_3m</t>
        </is>
      </c>
      <c r="F343" t="inlineStr">
        <is>
          <t>0001441816-25-000118</t>
        </is>
      </c>
      <c r="G343" t="inlineStr">
        <is>
          <t>2025-06-04</t>
        </is>
      </c>
    </row>
    <row r="344">
      <c r="A344" t="inlineStr">
        <is>
          <t>sbc_cost_subscription</t>
        </is>
      </c>
      <c r="B344" t="inlineStr">
        <is>
          <t>Q2 FY26</t>
        </is>
      </c>
      <c r="C344" t="inlineStr">
        <is>
          <t>2025-07-31</t>
        </is>
      </c>
      <c r="D344" t="n">
        <v>8831000</v>
      </c>
      <c r="E344" t="inlineStr">
        <is>
          <t>reported_3m</t>
        </is>
      </c>
      <c r="F344" t="inlineStr">
        <is>
          <t>0001441816-25-000181</t>
        </is>
      </c>
      <c r="G344" t="inlineStr">
        <is>
          <t>2025-08-27</t>
        </is>
      </c>
    </row>
    <row r="345">
      <c r="A345" t="inlineStr">
        <is>
          <t>sbc_gna</t>
        </is>
      </c>
      <c r="B345" t="inlineStr">
        <is>
          <t>Q4 FY22</t>
        </is>
      </c>
      <c r="C345" t="inlineStr">
        <is>
          <t>2022-01-31</t>
        </is>
      </c>
      <c r="D345" t="n">
        <v>9519000</v>
      </c>
      <c r="E345" t="inlineStr">
        <is>
          <t>fy_minus_9m</t>
        </is>
      </c>
      <c r="F345" t="inlineStr">
        <is>
          <t>0001441816-24-000049 - 0001441816-22-000193</t>
        </is>
      </c>
      <c r="G345" t="inlineStr">
        <is>
          <t>2024-03-15</t>
        </is>
      </c>
    </row>
    <row r="346">
      <c r="A346" t="inlineStr">
        <is>
          <t>sbc_gna</t>
        </is>
      </c>
      <c r="B346" t="inlineStr">
        <is>
          <t>Q1 FY23</t>
        </is>
      </c>
      <c r="C346" t="inlineStr">
        <is>
          <t>2022-04-30</t>
        </is>
      </c>
      <c r="D346" t="n">
        <v>10870000</v>
      </c>
      <c r="E346" t="inlineStr">
        <is>
          <t>reported_3m</t>
        </is>
      </c>
      <c r="F346" t="inlineStr">
        <is>
          <t>0001441816-23-000087</t>
        </is>
      </c>
      <c r="G346" t="inlineStr">
        <is>
          <t>2023-06-02</t>
        </is>
      </c>
    </row>
    <row r="347">
      <c r="A347" t="inlineStr">
        <is>
          <t>sbc_gna</t>
        </is>
      </c>
      <c r="B347" t="inlineStr">
        <is>
          <t>Q2 FY23</t>
        </is>
      </c>
      <c r="C347" t="inlineStr">
        <is>
          <t>2022-07-31</t>
        </is>
      </c>
      <c r="D347" t="n">
        <v>12690000</v>
      </c>
      <c r="E347" t="inlineStr">
        <is>
          <t>reported_3m</t>
        </is>
      </c>
      <c r="F347" t="inlineStr">
        <is>
          <t>0001441816-23-000168</t>
        </is>
      </c>
      <c r="G347" t="inlineStr">
        <is>
          <t>2023-09-01</t>
        </is>
      </c>
    </row>
    <row r="348">
      <c r="A348" t="inlineStr">
        <is>
          <t>sbc_gna</t>
        </is>
      </c>
      <c r="B348" t="inlineStr">
        <is>
          <t>Q3 FY23</t>
        </is>
      </c>
      <c r="C348" t="inlineStr">
        <is>
          <t>2022-10-31</t>
        </is>
      </c>
      <c r="D348" t="n">
        <v>11545000</v>
      </c>
      <c r="E348" t="inlineStr">
        <is>
          <t>reported_3m</t>
        </is>
      </c>
      <c r="F348" t="inlineStr">
        <is>
          <t>0001441816-23-000248</t>
        </is>
      </c>
      <c r="G348" t="inlineStr">
        <is>
          <t>2023-12-07</t>
        </is>
      </c>
    </row>
    <row r="349">
      <c r="A349" t="inlineStr">
        <is>
          <t>sbc_gna</t>
        </is>
      </c>
      <c r="B349" t="inlineStr">
        <is>
          <t>Q4 FY23</t>
        </is>
      </c>
      <c r="C349" t="inlineStr">
        <is>
          <t>2023-01-31</t>
        </is>
      </c>
      <c r="D349" t="n">
        <v>13930000</v>
      </c>
      <c r="E349" t="inlineStr">
        <is>
          <t>fy_minus_9m</t>
        </is>
      </c>
      <c r="F349" t="inlineStr">
        <is>
          <t>0001441816-25-000057 - 0001441816-23-000248</t>
        </is>
      </c>
      <c r="G349" t="inlineStr">
        <is>
          <t>2025-03-21</t>
        </is>
      </c>
    </row>
    <row r="350">
      <c r="A350" t="inlineStr">
        <is>
          <t>sbc_gna</t>
        </is>
      </c>
      <c r="B350" t="inlineStr">
        <is>
          <t>Q1 FY24</t>
        </is>
      </c>
      <c r="C350" t="inlineStr">
        <is>
          <t>2023-04-30</t>
        </is>
      </c>
      <c r="D350" t="n">
        <v>13821000</v>
      </c>
      <c r="E350" t="inlineStr">
        <is>
          <t>reported_3m</t>
        </is>
      </c>
      <c r="F350" t="inlineStr">
        <is>
          <t>0001441816-24-000111</t>
        </is>
      </c>
      <c r="G350" t="inlineStr">
        <is>
          <t>2024-05-31</t>
        </is>
      </c>
    </row>
    <row r="351">
      <c r="A351" t="inlineStr">
        <is>
          <t>sbc_gna</t>
        </is>
      </c>
      <c r="B351" t="inlineStr">
        <is>
          <t>Q2 FY24</t>
        </is>
      </c>
      <c r="C351" t="inlineStr">
        <is>
          <t>2023-07-31</t>
        </is>
      </c>
      <c r="D351" t="n">
        <v>15106000</v>
      </c>
      <c r="E351" t="inlineStr">
        <is>
          <t>reported_3m</t>
        </is>
      </c>
      <c r="F351" t="inlineStr">
        <is>
          <t>0001441816-24-000188</t>
        </is>
      </c>
      <c r="G351" t="inlineStr">
        <is>
          <t>2024-08-30</t>
        </is>
      </c>
    </row>
    <row r="352">
      <c r="A352" t="inlineStr">
        <is>
          <t>sbc_gna</t>
        </is>
      </c>
      <c r="B352" t="inlineStr">
        <is>
          <t>Q3 FY24</t>
        </is>
      </c>
      <c r="C352" t="inlineStr">
        <is>
          <t>2023-10-31</t>
        </is>
      </c>
      <c r="D352" t="n">
        <v>15267000</v>
      </c>
      <c r="E352" t="inlineStr">
        <is>
          <t>reported_3m</t>
        </is>
      </c>
      <c r="F352" t="inlineStr">
        <is>
          <t>0001441816-24-000260</t>
        </is>
      </c>
      <c r="G352" t="inlineStr">
        <is>
          <t>2024-12-10</t>
        </is>
      </c>
    </row>
    <row r="353">
      <c r="A353" t="inlineStr">
        <is>
          <t>sbc_gna</t>
        </is>
      </c>
      <c r="B353" t="inlineStr">
        <is>
          <t>Q4 FY24</t>
        </is>
      </c>
      <c r="C353" t="inlineStr">
        <is>
          <t>2024-01-31</t>
        </is>
      </c>
      <c r="D353" t="n">
        <v>17469000</v>
      </c>
      <c r="E353" t="inlineStr">
        <is>
          <t>fy_minus_9m</t>
        </is>
      </c>
      <c r="F353" t="inlineStr">
        <is>
          <t>0001441816-25-000057 - 0001441816-24-000260</t>
        </is>
      </c>
      <c r="G353" t="inlineStr">
        <is>
          <t>2025-03-21</t>
        </is>
      </c>
    </row>
    <row r="354">
      <c r="A354" t="inlineStr">
        <is>
          <t>sbc_gna</t>
        </is>
      </c>
      <c r="B354" t="inlineStr">
        <is>
          <t>Q1 FY25</t>
        </is>
      </c>
      <c r="C354" t="inlineStr">
        <is>
          <t>2024-04-30</t>
        </is>
      </c>
      <c r="D354" t="n">
        <v>16559000</v>
      </c>
      <c r="E354" t="inlineStr">
        <is>
          <t>reported_3m</t>
        </is>
      </c>
      <c r="F354" t="inlineStr">
        <is>
          <t>0001441816-25-000118</t>
        </is>
      </c>
      <c r="G354" t="inlineStr">
        <is>
          <t>2025-06-04</t>
        </is>
      </c>
    </row>
    <row r="355">
      <c r="A355" t="inlineStr">
        <is>
          <t>sbc_gna</t>
        </is>
      </c>
      <c r="B355" t="inlineStr">
        <is>
          <t>Q2 FY25</t>
        </is>
      </c>
      <c r="C355" t="inlineStr">
        <is>
          <t>2024-07-31</t>
        </is>
      </c>
      <c r="D355" t="n">
        <v>15275000</v>
      </c>
      <c r="E355" t="inlineStr">
        <is>
          <t>reported_3m</t>
        </is>
      </c>
      <c r="F355" t="inlineStr">
        <is>
          <t>0001441816-25-000181</t>
        </is>
      </c>
      <c r="G355" t="inlineStr">
        <is>
          <t>2025-08-27</t>
        </is>
      </c>
    </row>
    <row r="356">
      <c r="A356" t="inlineStr">
        <is>
          <t>sbc_gna</t>
        </is>
      </c>
      <c r="B356" t="inlineStr">
        <is>
          <t>Q3 FY25</t>
        </is>
      </c>
      <c r="C356" t="inlineStr">
        <is>
          <t>2024-10-31</t>
        </is>
      </c>
      <c r="D356" t="n">
        <v>15943000</v>
      </c>
      <c r="E356" t="inlineStr">
        <is>
          <t>reported_3m</t>
        </is>
      </c>
      <c r="F356" t="inlineStr">
        <is>
          <t>0001441816-24-000260</t>
        </is>
      </c>
      <c r="G356" t="inlineStr">
        <is>
          <t>2024-12-10</t>
        </is>
      </c>
    </row>
    <row r="357">
      <c r="A357" t="inlineStr">
        <is>
          <t>sbc_gna</t>
        </is>
      </c>
      <c r="B357" t="inlineStr">
        <is>
          <t>Q4 FY25</t>
        </is>
      </c>
      <c r="C357" t="inlineStr">
        <is>
          <t>2025-01-31</t>
        </is>
      </c>
      <c r="D357" t="n">
        <v>15014000</v>
      </c>
      <c r="E357" t="inlineStr">
        <is>
          <t>fy_minus_9m</t>
        </is>
      </c>
      <c r="F357" t="inlineStr">
        <is>
          <t>0001441816-25-000057 - 0001441816-24-000260</t>
        </is>
      </c>
      <c r="G357" t="inlineStr">
        <is>
          <t>2025-03-21</t>
        </is>
      </c>
    </row>
    <row r="358">
      <c r="A358" t="inlineStr">
        <is>
          <t>sbc_gna</t>
        </is>
      </c>
      <c r="B358" t="inlineStr">
        <is>
          <t>Q1 FY26</t>
        </is>
      </c>
      <c r="C358" t="inlineStr">
        <is>
          <t>2025-04-30</t>
        </is>
      </c>
      <c r="D358" t="n">
        <v>14635000</v>
      </c>
      <c r="E358" t="inlineStr">
        <is>
          <t>reported_3m</t>
        </is>
      </c>
      <c r="F358" t="inlineStr">
        <is>
          <t>0001441816-25-000118</t>
        </is>
      </c>
      <c r="G358" t="inlineStr">
        <is>
          <t>2025-06-04</t>
        </is>
      </c>
    </row>
    <row r="359">
      <c r="A359" t="inlineStr">
        <is>
          <t>sbc_gna</t>
        </is>
      </c>
      <c r="B359" t="inlineStr">
        <is>
          <t>Q2 FY26</t>
        </is>
      </c>
      <c r="C359" t="inlineStr">
        <is>
          <t>2025-07-31</t>
        </is>
      </c>
      <c r="D359" t="n">
        <v>15918000</v>
      </c>
      <c r="E359" t="inlineStr">
        <is>
          <t>reported_3m</t>
        </is>
      </c>
      <c r="F359" t="inlineStr">
        <is>
          <t>0001441816-25-000181</t>
        </is>
      </c>
      <c r="G359" t="inlineStr">
        <is>
          <t>2025-08-27</t>
        </is>
      </c>
    </row>
    <row r="360">
      <c r="A360" t="inlineStr">
        <is>
          <t>sbc_rnd</t>
        </is>
      </c>
      <c r="B360" t="inlineStr">
        <is>
          <t>Q4 FY22</t>
        </is>
      </c>
      <c r="C360" t="inlineStr">
        <is>
          <t>2022-01-31</t>
        </is>
      </c>
      <c r="D360" t="n">
        <v>31108000</v>
      </c>
      <c r="E360" t="inlineStr">
        <is>
          <t>fy_minus_9m</t>
        </is>
      </c>
      <c r="F360" t="inlineStr">
        <is>
          <t>0001441816-24-000049 - 0001441816-22-000193</t>
        </is>
      </c>
      <c r="G360" t="inlineStr">
        <is>
          <t>2024-03-15</t>
        </is>
      </c>
    </row>
    <row r="361">
      <c r="A361" t="inlineStr">
        <is>
          <t>sbc_rnd</t>
        </is>
      </c>
      <c r="B361" t="inlineStr">
        <is>
          <t>Q1 FY23</t>
        </is>
      </c>
      <c r="C361" t="inlineStr">
        <is>
          <t>2022-04-30</t>
        </is>
      </c>
      <c r="D361" t="n">
        <v>35483000</v>
      </c>
      <c r="E361" t="inlineStr">
        <is>
          <t>reported_3m</t>
        </is>
      </c>
      <c r="F361" t="inlineStr">
        <is>
          <t>0001441816-23-000087</t>
        </is>
      </c>
      <c r="G361" t="inlineStr">
        <is>
          <t>2023-06-02</t>
        </is>
      </c>
    </row>
    <row r="362">
      <c r="A362" t="inlineStr">
        <is>
          <t>sbc_rnd</t>
        </is>
      </c>
      <c r="B362" t="inlineStr">
        <is>
          <t>Q2 FY23</t>
        </is>
      </c>
      <c r="C362" t="inlineStr">
        <is>
          <t>2022-07-31</t>
        </is>
      </c>
      <c r="D362" t="n">
        <v>40642000</v>
      </c>
      <c r="E362" t="inlineStr">
        <is>
          <t>reported_3m</t>
        </is>
      </c>
      <c r="F362" t="inlineStr">
        <is>
          <t>0001441816-23-000168</t>
        </is>
      </c>
      <c r="G362" t="inlineStr">
        <is>
          <t>2023-09-01</t>
        </is>
      </c>
    </row>
    <row r="363">
      <c r="A363" t="inlineStr">
        <is>
          <t>sbc_rnd</t>
        </is>
      </c>
      <c r="B363" t="inlineStr">
        <is>
          <t>Q3 FY23</t>
        </is>
      </c>
      <c r="C363" t="inlineStr">
        <is>
          <t>2022-10-31</t>
        </is>
      </c>
      <c r="D363" t="n">
        <v>41458000</v>
      </c>
      <c r="E363" t="inlineStr">
        <is>
          <t>reported_3m</t>
        </is>
      </c>
      <c r="F363" t="inlineStr">
        <is>
          <t>0001441816-23-000248</t>
        </is>
      </c>
      <c r="G363" t="inlineStr">
        <is>
          <t>2023-12-07</t>
        </is>
      </c>
    </row>
    <row r="364">
      <c r="A364" t="inlineStr">
        <is>
          <t>sbc_rnd</t>
        </is>
      </c>
      <c r="B364" t="inlineStr">
        <is>
          <t>Q4 FY23</t>
        </is>
      </c>
      <c r="C364" t="inlineStr">
        <is>
          <t>2023-01-31</t>
        </is>
      </c>
      <c r="D364" t="n">
        <v>41516000</v>
      </c>
      <c r="E364" t="inlineStr">
        <is>
          <t>fy_minus_9m</t>
        </is>
      </c>
      <c r="F364" t="inlineStr">
        <is>
          <t>0001441816-25-000057 - 0001441816-23-000248</t>
        </is>
      </c>
      <c r="G364" t="inlineStr">
        <is>
          <t>2025-03-21</t>
        </is>
      </c>
    </row>
    <row r="365">
      <c r="A365" t="inlineStr">
        <is>
          <t>sbc_rnd</t>
        </is>
      </c>
      <c r="B365" t="inlineStr">
        <is>
          <t>Q1 FY24</t>
        </is>
      </c>
      <c r="C365" t="inlineStr">
        <is>
          <t>2023-04-30</t>
        </is>
      </c>
      <c r="D365" t="n">
        <v>44066000</v>
      </c>
      <c r="E365" t="inlineStr">
        <is>
          <t>reported_3m</t>
        </is>
      </c>
      <c r="F365" t="inlineStr">
        <is>
          <t>0001441816-24-000111</t>
        </is>
      </c>
      <c r="G365" t="inlineStr">
        <is>
          <t>2024-05-31</t>
        </is>
      </c>
    </row>
    <row r="366">
      <c r="A366" t="inlineStr">
        <is>
          <t>sbc_rnd</t>
        </is>
      </c>
      <c r="B366" t="inlineStr">
        <is>
          <t>Q2 FY24</t>
        </is>
      </c>
      <c r="C366" t="inlineStr">
        <is>
          <t>2023-07-31</t>
        </is>
      </c>
      <c r="D366" t="n">
        <v>48413000</v>
      </c>
      <c r="E366" t="inlineStr">
        <is>
          <t>reported_3m</t>
        </is>
      </c>
      <c r="F366" t="inlineStr">
        <is>
          <t>0001441816-24-000188</t>
        </is>
      </c>
      <c r="G366" t="inlineStr">
        <is>
          <t>2024-08-30</t>
        </is>
      </c>
    </row>
    <row r="367">
      <c r="A367" t="inlineStr">
        <is>
          <t>sbc_rnd</t>
        </is>
      </c>
      <c r="B367" t="inlineStr">
        <is>
          <t>Q3 FY24</t>
        </is>
      </c>
      <c r="C367" t="inlineStr">
        <is>
          <t>2023-10-31</t>
        </is>
      </c>
      <c r="D367" t="n">
        <v>50759000</v>
      </c>
      <c r="E367" t="inlineStr">
        <is>
          <t>reported_3m</t>
        </is>
      </c>
      <c r="F367" t="inlineStr">
        <is>
          <t>0001441816-24-000260</t>
        </is>
      </c>
      <c r="G367" t="inlineStr">
        <is>
          <t>2024-12-10</t>
        </is>
      </c>
    </row>
    <row r="368">
      <c r="A368" t="inlineStr">
        <is>
          <t>sbc_rnd</t>
        </is>
      </c>
      <c r="B368" t="inlineStr">
        <is>
          <t>Q4 FY24</t>
        </is>
      </c>
      <c r="C368" t="inlineStr">
        <is>
          <t>2024-01-31</t>
        </is>
      </c>
      <c r="D368" t="n">
        <v>55689000</v>
      </c>
      <c r="E368" t="inlineStr">
        <is>
          <t>fy_minus_9m</t>
        </is>
      </c>
      <c r="F368" t="inlineStr">
        <is>
          <t>0001441816-25-000057 - 0001441816-24-000260</t>
        </is>
      </c>
      <c r="G368" t="inlineStr">
        <is>
          <t>2025-03-21</t>
        </is>
      </c>
    </row>
    <row r="369">
      <c r="A369" t="inlineStr">
        <is>
          <t>sbc_rnd</t>
        </is>
      </c>
      <c r="B369" t="inlineStr">
        <is>
          <t>Q1 FY25</t>
        </is>
      </c>
      <c r="C369" t="inlineStr">
        <is>
          <t>2024-04-30</t>
        </is>
      </c>
      <c r="D369" t="n">
        <v>55173000</v>
      </c>
      <c r="E369" t="inlineStr">
        <is>
          <t>reported_3m</t>
        </is>
      </c>
      <c r="F369" t="inlineStr">
        <is>
          <t>0001441816-25-000118</t>
        </is>
      </c>
      <c r="G369" t="inlineStr">
        <is>
          <t>2025-06-04</t>
        </is>
      </c>
    </row>
    <row r="370">
      <c r="A370" t="inlineStr">
        <is>
          <t>sbc_rnd</t>
        </is>
      </c>
      <c r="B370" t="inlineStr">
        <is>
          <t>Q2 FY25</t>
        </is>
      </c>
      <c r="C370" t="inlineStr">
        <is>
          <t>2024-07-31</t>
        </is>
      </c>
      <c r="D370" t="n">
        <v>55188000</v>
      </c>
      <c r="E370" t="inlineStr">
        <is>
          <t>reported_3m</t>
        </is>
      </c>
      <c r="F370" t="inlineStr">
        <is>
          <t>0001441816-25-000181</t>
        </is>
      </c>
      <c r="G370" t="inlineStr">
        <is>
          <t>2025-08-27</t>
        </is>
      </c>
    </row>
    <row r="371">
      <c r="A371" t="inlineStr">
        <is>
          <t>sbc_rnd</t>
        </is>
      </c>
      <c r="B371" t="inlineStr">
        <is>
          <t>Q3 FY25</t>
        </is>
      </c>
      <c r="C371" t="inlineStr">
        <is>
          <t>2024-10-31</t>
        </is>
      </c>
      <c r="D371" t="n">
        <v>57850000</v>
      </c>
      <c r="E371" t="inlineStr">
        <is>
          <t>reported_3m</t>
        </is>
      </c>
      <c r="F371" t="inlineStr">
        <is>
          <t>0001441816-24-000260</t>
        </is>
      </c>
      <c r="G371" t="inlineStr">
        <is>
          <t>2024-12-10</t>
        </is>
      </c>
    </row>
    <row r="372">
      <c r="A372" t="inlineStr">
        <is>
          <t>sbc_rnd</t>
        </is>
      </c>
      <c r="B372" t="inlineStr">
        <is>
          <t>Q4 FY25</t>
        </is>
      </c>
      <c r="C372" t="inlineStr">
        <is>
          <t>2025-01-31</t>
        </is>
      </c>
      <c r="D372" t="n">
        <v>58156000</v>
      </c>
      <c r="E372" t="inlineStr">
        <is>
          <t>fy_minus_9m</t>
        </is>
      </c>
      <c r="F372" t="inlineStr">
        <is>
          <t>0001441816-25-000057 - 0001441816-24-000260</t>
        </is>
      </c>
      <c r="G372" t="inlineStr">
        <is>
          <t>2025-03-21</t>
        </is>
      </c>
    </row>
    <row r="373">
      <c r="A373" t="inlineStr">
        <is>
          <t>sbc_rnd</t>
        </is>
      </c>
      <c r="B373" t="inlineStr">
        <is>
          <t>Q1 FY26</t>
        </is>
      </c>
      <c r="C373" t="inlineStr">
        <is>
          <t>2025-04-30</t>
        </is>
      </c>
      <c r="D373" t="n">
        <v>66405000</v>
      </c>
      <c r="E373" t="inlineStr">
        <is>
          <t>reported_3m</t>
        </is>
      </c>
      <c r="F373" t="inlineStr">
        <is>
          <t>0001441816-25-000118</t>
        </is>
      </c>
      <c r="G373" t="inlineStr">
        <is>
          <t>2025-06-04</t>
        </is>
      </c>
    </row>
    <row r="374">
      <c r="A374" t="inlineStr">
        <is>
          <t>sbc_rnd</t>
        </is>
      </c>
      <c r="B374" t="inlineStr">
        <is>
          <t>Q2 FY26</t>
        </is>
      </c>
      <c r="C374" t="inlineStr">
        <is>
          <t>2025-07-31</t>
        </is>
      </c>
      <c r="D374" t="n">
        <v>75113000</v>
      </c>
      <c r="E374" t="inlineStr">
        <is>
          <t>reported_3m</t>
        </is>
      </c>
      <c r="F374" t="inlineStr">
        <is>
          <t>0001441816-25-000181</t>
        </is>
      </c>
      <c r="G374" t="inlineStr">
        <is>
          <t>2025-08-27</t>
        </is>
      </c>
    </row>
    <row r="375">
      <c r="A375" t="inlineStr">
        <is>
          <t>sbc_snm</t>
        </is>
      </c>
      <c r="B375" t="inlineStr">
        <is>
          <t>Q4 FY22</t>
        </is>
      </c>
      <c r="C375" t="inlineStr">
        <is>
          <t>2022-01-31</t>
        </is>
      </c>
      <c r="D375" t="n">
        <v>27198000</v>
      </c>
      <c r="E375" t="inlineStr">
        <is>
          <t>fy_minus_9m</t>
        </is>
      </c>
      <c r="F375" t="inlineStr">
        <is>
          <t>0001441816-24-000049 - 0001441816-22-000193</t>
        </is>
      </c>
      <c r="G375" t="inlineStr">
        <is>
          <t>2024-03-15</t>
        </is>
      </c>
    </row>
    <row r="376">
      <c r="A376" t="inlineStr">
        <is>
          <t>sbc_snm</t>
        </is>
      </c>
      <c r="B376" t="inlineStr">
        <is>
          <t>Q1 FY23</t>
        </is>
      </c>
      <c r="C376" t="inlineStr">
        <is>
          <t>2022-04-30</t>
        </is>
      </c>
      <c r="D376" t="n">
        <v>30534000</v>
      </c>
      <c r="E376" t="inlineStr">
        <is>
          <t>reported_3m</t>
        </is>
      </c>
      <c r="F376" t="inlineStr">
        <is>
          <t>0001441816-23-000087</t>
        </is>
      </c>
      <c r="G376" t="inlineStr">
        <is>
          <t>2023-06-02</t>
        </is>
      </c>
    </row>
    <row r="377">
      <c r="A377" t="inlineStr">
        <is>
          <t>sbc_snm</t>
        </is>
      </c>
      <c r="B377" t="inlineStr">
        <is>
          <t>Q2 FY23</t>
        </is>
      </c>
      <c r="C377" t="inlineStr">
        <is>
          <t>2022-07-31</t>
        </is>
      </c>
      <c r="D377" t="n">
        <v>35653000</v>
      </c>
      <c r="E377" t="inlineStr">
        <is>
          <t>reported_3m</t>
        </is>
      </c>
      <c r="F377" t="inlineStr">
        <is>
          <t>0001441816-23-000168</t>
        </is>
      </c>
      <c r="G377" t="inlineStr">
        <is>
          <t>2023-09-01</t>
        </is>
      </c>
    </row>
    <row r="378">
      <c r="A378" t="inlineStr">
        <is>
          <t>sbc_snm</t>
        </is>
      </c>
      <c r="B378" t="inlineStr">
        <is>
          <t>Q3 FY23</t>
        </is>
      </c>
      <c r="C378" t="inlineStr">
        <is>
          <t>2022-10-31</t>
        </is>
      </c>
      <c r="D378" t="n">
        <v>38352000</v>
      </c>
      <c r="E378" t="inlineStr">
        <is>
          <t>reported_3m</t>
        </is>
      </c>
      <c r="F378" t="inlineStr">
        <is>
          <t>0001441816-23-000248</t>
        </is>
      </c>
      <c r="G378" t="inlineStr">
        <is>
          <t>2023-12-07</t>
        </is>
      </c>
    </row>
    <row r="379">
      <c r="A379" t="inlineStr">
        <is>
          <t>sbc_snm</t>
        </is>
      </c>
      <c r="B379" t="inlineStr">
        <is>
          <t>Q4 FY23</t>
        </is>
      </c>
      <c r="C379" t="inlineStr">
        <is>
          <t>2023-01-31</t>
        </is>
      </c>
      <c r="D379" t="n">
        <v>38534000</v>
      </c>
      <c r="E379" t="inlineStr">
        <is>
          <t>fy_minus_9m</t>
        </is>
      </c>
      <c r="F379" t="inlineStr">
        <is>
          <t>0001441816-25-000057 - 0001441816-23-000248</t>
        </is>
      </c>
      <c r="G379" t="inlineStr">
        <is>
          <t>2025-03-21</t>
        </is>
      </c>
    </row>
    <row r="380">
      <c r="A380" t="inlineStr">
        <is>
          <t>sbc_snm</t>
        </is>
      </c>
      <c r="B380" t="inlineStr">
        <is>
          <t>Q1 FY24</t>
        </is>
      </c>
      <c r="C380" t="inlineStr">
        <is>
          <t>2023-04-30</t>
        </is>
      </c>
      <c r="D380" t="n">
        <v>37606000</v>
      </c>
      <c r="E380" t="inlineStr">
        <is>
          <t>reported_3m</t>
        </is>
      </c>
      <c r="F380" t="inlineStr">
        <is>
          <t>0001441816-24-000111</t>
        </is>
      </c>
      <c r="G380" t="inlineStr">
        <is>
          <t>2024-05-31</t>
        </is>
      </c>
    </row>
    <row r="381">
      <c r="A381" t="inlineStr">
        <is>
          <t>sbc_snm</t>
        </is>
      </c>
      <c r="B381" t="inlineStr">
        <is>
          <t>Q2 FY24</t>
        </is>
      </c>
      <c r="C381" t="inlineStr">
        <is>
          <t>2023-07-31</t>
        </is>
      </c>
      <c r="D381" t="n">
        <v>40376000</v>
      </c>
      <c r="E381" t="inlineStr">
        <is>
          <t>reported_3m</t>
        </is>
      </c>
      <c r="F381" t="inlineStr">
        <is>
          <t>0001441816-24-000188</t>
        </is>
      </c>
      <c r="G381" t="inlineStr">
        <is>
          <t>2024-08-30</t>
        </is>
      </c>
    </row>
    <row r="382">
      <c r="A382" t="inlineStr">
        <is>
          <t>sbc_snm</t>
        </is>
      </c>
      <c r="B382" t="inlineStr">
        <is>
          <t>Q3 FY24</t>
        </is>
      </c>
      <c r="C382" t="inlineStr">
        <is>
          <t>2023-10-31</t>
        </is>
      </c>
      <c r="D382" t="n">
        <v>40585000</v>
      </c>
      <c r="E382" t="inlineStr">
        <is>
          <t>reported_3m</t>
        </is>
      </c>
      <c r="F382" t="inlineStr">
        <is>
          <t>0001441816-24-000260</t>
        </is>
      </c>
      <c r="G382" t="inlineStr">
        <is>
          <t>2024-12-10</t>
        </is>
      </c>
    </row>
    <row r="383">
      <c r="A383" t="inlineStr">
        <is>
          <t>sbc_snm</t>
        </is>
      </c>
      <c r="B383" t="inlineStr">
        <is>
          <t>Q4 FY24</t>
        </is>
      </c>
      <c r="C383" t="inlineStr">
        <is>
          <t>2024-01-31</t>
        </is>
      </c>
      <c r="D383" t="n">
        <v>41340000</v>
      </c>
      <c r="E383" t="inlineStr">
        <is>
          <t>fy_minus_9m</t>
        </is>
      </c>
      <c r="F383" t="inlineStr">
        <is>
          <t>0001441816-25-000057 - 0001441816-24-000260</t>
        </is>
      </c>
      <c r="G383" t="inlineStr">
        <is>
          <t>2025-03-21</t>
        </is>
      </c>
    </row>
    <row r="384">
      <c r="A384" t="inlineStr">
        <is>
          <t>sbc_snm</t>
        </is>
      </c>
      <c r="B384" t="inlineStr">
        <is>
          <t>Q1 FY25</t>
        </is>
      </c>
      <c r="C384" t="inlineStr">
        <is>
          <t>2024-04-30</t>
        </is>
      </c>
      <c r="D384" t="n">
        <v>39613000</v>
      </c>
      <c r="E384" t="inlineStr">
        <is>
          <t>reported_3m</t>
        </is>
      </c>
      <c r="F384" t="inlineStr">
        <is>
          <t>0001441816-25-000118</t>
        </is>
      </c>
      <c r="G384" t="inlineStr">
        <is>
          <t>2025-06-04</t>
        </is>
      </c>
    </row>
    <row r="385">
      <c r="A385" t="inlineStr">
        <is>
          <t>sbc_snm</t>
        </is>
      </c>
      <c r="B385" t="inlineStr">
        <is>
          <t>Q2 FY25</t>
        </is>
      </c>
      <c r="C385" t="inlineStr">
        <is>
          <t>2024-07-31</t>
        </is>
      </c>
      <c r="D385" t="n">
        <v>41040000</v>
      </c>
      <c r="E385" t="inlineStr">
        <is>
          <t>reported_3m</t>
        </is>
      </c>
      <c r="F385" t="inlineStr">
        <is>
          <t>0001441816-25-000181</t>
        </is>
      </c>
      <c r="G385" t="inlineStr">
        <is>
          <t>2025-08-27</t>
        </is>
      </c>
    </row>
    <row r="386">
      <c r="A386" t="inlineStr">
        <is>
          <t>sbc_snm</t>
        </is>
      </c>
      <c r="B386" t="inlineStr">
        <is>
          <t>Q3 FY25</t>
        </is>
      </c>
      <c r="C386" t="inlineStr">
        <is>
          <t>2024-10-31</t>
        </is>
      </c>
      <c r="D386" t="n">
        <v>40540000</v>
      </c>
      <c r="E386" t="inlineStr">
        <is>
          <t>reported_3m</t>
        </is>
      </c>
      <c r="F386" t="inlineStr">
        <is>
          <t>0001441816-24-000260</t>
        </is>
      </c>
      <c r="G386" t="inlineStr">
        <is>
          <t>2024-12-10</t>
        </is>
      </c>
    </row>
    <row r="387">
      <c r="A387" t="inlineStr">
        <is>
          <t>sbc_snm</t>
        </is>
      </c>
      <c r="B387" t="inlineStr">
        <is>
          <t>Q4 FY25</t>
        </is>
      </c>
      <c r="C387" t="inlineStr">
        <is>
          <t>2025-01-31</t>
        </is>
      </c>
      <c r="D387" t="n">
        <v>40124000</v>
      </c>
      <c r="E387" t="inlineStr">
        <is>
          <t>fy_minus_9m</t>
        </is>
      </c>
      <c r="F387" t="inlineStr">
        <is>
          <t>0001441816-25-000057 - 0001441816-24-000260</t>
        </is>
      </c>
      <c r="G387" t="inlineStr">
        <is>
          <t>2025-03-21</t>
        </is>
      </c>
    </row>
    <row r="388">
      <c r="A388" t="inlineStr">
        <is>
          <t>sbc_snm</t>
        </is>
      </c>
      <c r="B388" t="inlineStr">
        <is>
          <t>Q1 FY26</t>
        </is>
      </c>
      <c r="C388" t="inlineStr">
        <is>
          <t>2025-04-30</t>
        </is>
      </c>
      <c r="D388" t="n">
        <v>39102000</v>
      </c>
      <c r="E388" t="inlineStr">
        <is>
          <t>reported_3m</t>
        </is>
      </c>
      <c r="F388" t="inlineStr">
        <is>
          <t>0001441816-25-000118</t>
        </is>
      </c>
      <c r="G388" t="inlineStr">
        <is>
          <t>2025-06-04</t>
        </is>
      </c>
    </row>
    <row r="389">
      <c r="A389" t="inlineStr">
        <is>
          <t>sbc_snm</t>
        </is>
      </c>
      <c r="B389" t="inlineStr">
        <is>
          <t>Q2 FY26</t>
        </is>
      </c>
      <c r="C389" t="inlineStr">
        <is>
          <t>2025-07-31</t>
        </is>
      </c>
      <c r="D389" t="n">
        <v>36265000</v>
      </c>
      <c r="E389" t="inlineStr">
        <is>
          <t>reported_3m</t>
        </is>
      </c>
      <c r="F389" t="inlineStr">
        <is>
          <t>0001441816-25-000181</t>
        </is>
      </c>
      <c r="G389" t="inlineStr">
        <is>
          <t>2025-08-27</t>
        </is>
      </c>
    </row>
    <row r="390">
      <c r="A390" t="inlineStr">
        <is>
          <t>sbc_total</t>
        </is>
      </c>
      <c r="B390" t="inlineStr">
        <is>
          <t>Q4 FY22</t>
        </is>
      </c>
      <c r="C390" t="inlineStr">
        <is>
          <t>2022-01-31</t>
        </is>
      </c>
      <c r="D390" t="n">
        <v>73742000</v>
      </c>
      <c r="E390" t="inlineStr">
        <is>
          <t>fy_minus_9m</t>
        </is>
      </c>
      <c r="F390" t="inlineStr">
        <is>
          <t>0001441816-24-000049 - 0001441816-22-000193</t>
        </is>
      </c>
      <c r="G390" t="inlineStr">
        <is>
          <t>2024-03-15</t>
        </is>
      </c>
    </row>
    <row r="391">
      <c r="A391" t="inlineStr">
        <is>
          <t>sbc_total</t>
        </is>
      </c>
      <c r="B391" t="inlineStr">
        <is>
          <t>Q1 FY23</t>
        </is>
      </c>
      <c r="C391" t="inlineStr">
        <is>
          <t>2022-04-30</t>
        </is>
      </c>
      <c r="D391" t="n">
        <v>83566000</v>
      </c>
      <c r="E391" t="inlineStr">
        <is>
          <t>reported_3m</t>
        </is>
      </c>
      <c r="F391" t="inlineStr">
        <is>
          <t>0001441816-23-000087</t>
        </is>
      </c>
      <c r="G391" t="inlineStr">
        <is>
          <t>2023-06-02</t>
        </is>
      </c>
    </row>
    <row r="392">
      <c r="A392" t="inlineStr">
        <is>
          <t>sbc_total</t>
        </is>
      </c>
      <c r="B392" t="inlineStr">
        <is>
          <t>Q2 FY23</t>
        </is>
      </c>
      <c r="C392" t="inlineStr">
        <is>
          <t>2022-07-31</t>
        </is>
      </c>
      <c r="D392" t="n">
        <v>96554000</v>
      </c>
      <c r="E392" t="inlineStr">
        <is>
          <t>ytd_diff</t>
        </is>
      </c>
      <c r="F392" t="inlineStr">
        <is>
          <t>0001441816-23-000168 - 0001441816-23-000087</t>
        </is>
      </c>
      <c r="G392" t="inlineStr">
        <is>
          <t>2023-09-01</t>
        </is>
      </c>
    </row>
    <row r="393">
      <c r="A393" t="inlineStr">
        <is>
          <t>sbc_total</t>
        </is>
      </c>
      <c r="B393" t="inlineStr">
        <is>
          <t>Q3 FY23</t>
        </is>
      </c>
      <c r="C393" t="inlineStr">
        <is>
          <t>2022-10-31</t>
        </is>
      </c>
      <c r="D393" t="n">
        <v>99198000</v>
      </c>
      <c r="E393" t="inlineStr">
        <is>
          <t>ytd_diff</t>
        </is>
      </c>
      <c r="F393" t="inlineStr">
        <is>
          <t>0001441816-23-000248 - 0001441816-23-000168</t>
        </is>
      </c>
      <c r="G393" t="inlineStr">
        <is>
          <t>2023-12-07</t>
        </is>
      </c>
    </row>
    <row r="394">
      <c r="A394" t="inlineStr">
        <is>
          <t>sbc_total</t>
        </is>
      </c>
      <c r="B394" t="inlineStr">
        <is>
          <t>Q4 FY23</t>
        </is>
      </c>
      <c r="C394" t="inlineStr">
        <is>
          <t>2023-01-31</t>
        </is>
      </c>
      <c r="D394" t="n">
        <v>102136000</v>
      </c>
      <c r="E394" t="inlineStr">
        <is>
          <t>fy_minus_9m</t>
        </is>
      </c>
      <c r="F394" t="inlineStr">
        <is>
          <t>0001441816-25-000057 - 0001441816-23-000248</t>
        </is>
      </c>
      <c r="G394" t="inlineStr">
        <is>
          <t>2025-03-21</t>
        </is>
      </c>
    </row>
    <row r="395">
      <c r="A395" t="inlineStr">
        <is>
          <t>sbc_total</t>
        </is>
      </c>
      <c r="B395" t="inlineStr">
        <is>
          <t>Q1 FY24</t>
        </is>
      </c>
      <c r="C395" t="inlineStr">
        <is>
          <t>2023-04-30</t>
        </is>
      </c>
      <c r="D395" t="n">
        <v>103955000</v>
      </c>
      <c r="E395" t="inlineStr">
        <is>
          <t>reported_3m</t>
        </is>
      </c>
      <c r="F395" t="inlineStr">
        <is>
          <t>0001441816-24-000111</t>
        </is>
      </c>
      <c r="G395" t="inlineStr">
        <is>
          <t>2024-05-31</t>
        </is>
      </c>
    </row>
    <row r="396">
      <c r="A396" t="inlineStr">
        <is>
          <t>sbc_total</t>
        </is>
      </c>
      <c r="B396" t="inlineStr">
        <is>
          <t>Q2 FY24</t>
        </is>
      </c>
      <c r="C396" t="inlineStr">
        <is>
          <t>2023-07-31</t>
        </is>
      </c>
      <c r="D396" t="n">
        <v>113312000</v>
      </c>
      <c r="E396" t="inlineStr">
        <is>
          <t>ytd_diff</t>
        </is>
      </c>
      <c r="F396" t="inlineStr">
        <is>
          <t>0001441816-24-000188 - 0001441816-24-000111</t>
        </is>
      </c>
      <c r="G396" t="inlineStr">
        <is>
          <t>2024-08-30</t>
        </is>
      </c>
    </row>
    <row r="397">
      <c r="A397" t="inlineStr">
        <is>
          <t>sbc_total</t>
        </is>
      </c>
      <c r="B397" t="inlineStr">
        <is>
          <t>Q3 FY24</t>
        </is>
      </c>
      <c r="C397" t="inlineStr">
        <is>
          <t>2023-10-31</t>
        </is>
      </c>
      <c r="D397" t="n">
        <v>115829000</v>
      </c>
      <c r="E397" t="inlineStr">
        <is>
          <t>ytd_diff</t>
        </is>
      </c>
      <c r="F397" t="inlineStr">
        <is>
          <t>0001441816-24-000260 - 0001441816-24-000188</t>
        </is>
      </c>
      <c r="G397" t="inlineStr">
        <is>
          <t>2024-12-10</t>
        </is>
      </c>
    </row>
    <row r="398">
      <c r="A398" t="inlineStr">
        <is>
          <t>sbc_total</t>
        </is>
      </c>
      <c r="B398" t="inlineStr">
        <is>
          <t>Q4 FY24</t>
        </is>
      </c>
      <c r="C398" t="inlineStr">
        <is>
          <t>2024-01-31</t>
        </is>
      </c>
      <c r="D398" t="n">
        <v>123811000</v>
      </c>
      <c r="E398" t="inlineStr">
        <is>
          <t>fy_minus_9m</t>
        </is>
      </c>
      <c r="F398" t="inlineStr">
        <is>
          <t>0001441816-25-000057 - 0001441816-24-000260</t>
        </is>
      </c>
      <c r="G398" t="inlineStr">
        <is>
          <t>2025-03-21</t>
        </is>
      </c>
    </row>
    <row r="399">
      <c r="A399" t="inlineStr">
        <is>
          <t>sbc_total</t>
        </is>
      </c>
      <c r="B399" t="inlineStr">
        <is>
          <t>Q1 FY25</t>
        </is>
      </c>
      <c r="C399" t="inlineStr">
        <is>
          <t>2024-04-30</t>
        </is>
      </c>
      <c r="D399" t="n">
        <v>120763000</v>
      </c>
      <c r="E399" t="inlineStr">
        <is>
          <t>reported_3m</t>
        </is>
      </c>
      <c r="F399" t="inlineStr">
        <is>
          <t>0001441816-25-000118</t>
        </is>
      </c>
      <c r="G399" t="inlineStr">
        <is>
          <t>2025-06-04</t>
        </is>
      </c>
    </row>
    <row r="400">
      <c r="A400" t="inlineStr">
        <is>
          <t>sbc_total</t>
        </is>
      </c>
      <c r="B400" t="inlineStr">
        <is>
          <t>Q2 FY25</t>
        </is>
      </c>
      <c r="C400" t="inlineStr">
        <is>
          <t>2024-07-31</t>
        </is>
      </c>
      <c r="D400" t="n">
        <v>122423000</v>
      </c>
      <c r="E400" t="inlineStr">
        <is>
          <t>ytd_diff</t>
        </is>
      </c>
      <c r="F400" t="inlineStr">
        <is>
          <t>0001441816-25-000181 - 0001441816-25-000118</t>
        </is>
      </c>
      <c r="G400" t="inlineStr">
        <is>
          <t>2025-08-27</t>
        </is>
      </c>
    </row>
    <row r="401">
      <c r="A401" t="inlineStr">
        <is>
          <t>sbc_total</t>
        </is>
      </c>
      <c r="B401" t="inlineStr">
        <is>
          <t>Q3 FY25</t>
        </is>
      </c>
      <c r="C401" t="inlineStr">
        <is>
          <t>2024-10-31</t>
        </is>
      </c>
      <c r="D401" t="n">
        <v>125712000</v>
      </c>
      <c r="E401" t="inlineStr">
        <is>
          <t>ytd_diff</t>
        </is>
      </c>
      <c r="F401" t="inlineStr">
        <is>
          <t>0001441816-24-000260 - 0001441816-25-000181</t>
        </is>
      </c>
      <c r="G401" t="inlineStr">
        <is>
          <t>2025-08-27</t>
        </is>
      </c>
    </row>
    <row r="402">
      <c r="A402" t="inlineStr">
        <is>
          <t>sbc_total</t>
        </is>
      </c>
      <c r="B402" t="inlineStr">
        <is>
          <t>Q4 FY25</t>
        </is>
      </c>
      <c r="C402" t="inlineStr">
        <is>
          <t>2025-01-31</t>
        </is>
      </c>
      <c r="D402" t="n">
        <v>125042000</v>
      </c>
      <c r="E402" t="inlineStr">
        <is>
          <t>fy_minus_9m</t>
        </is>
      </c>
      <c r="F402" t="inlineStr">
        <is>
          <t>0001441816-25-000057 - 0001441816-24-000260</t>
        </is>
      </c>
      <c r="G402" t="inlineStr">
        <is>
          <t>2025-03-21</t>
        </is>
      </c>
    </row>
    <row r="403">
      <c r="A403" t="inlineStr">
        <is>
          <t>sbc_total</t>
        </is>
      </c>
      <c r="B403" t="inlineStr">
        <is>
          <t>Q1 FY26</t>
        </is>
      </c>
      <c r="C403" t="inlineStr">
        <is>
          <t>2025-04-30</t>
        </is>
      </c>
      <c r="D403" t="n">
        <v>132431000</v>
      </c>
      <c r="E403" t="inlineStr">
        <is>
          <t>reported_3m</t>
        </is>
      </c>
      <c r="F403" t="inlineStr">
        <is>
          <t>0001441816-25-000118</t>
        </is>
      </c>
      <c r="G403" t="inlineStr">
        <is>
          <t>2025-06-04</t>
        </is>
      </c>
    </row>
    <row r="404">
      <c r="A404" t="inlineStr">
        <is>
          <t>sbc_total</t>
        </is>
      </c>
      <c r="B404" t="inlineStr">
        <is>
          <t>Q2 FY26</t>
        </is>
      </c>
      <c r="C404" t="inlineStr">
        <is>
          <t>2025-07-31</t>
        </is>
      </c>
      <c r="D404" t="n">
        <v>140400000</v>
      </c>
      <c r="E404" t="inlineStr">
        <is>
          <t>ytd_diff</t>
        </is>
      </c>
      <c r="F404" t="inlineStr">
        <is>
          <t>0001441816-25-000181 - 0001441816-25-000118</t>
        </is>
      </c>
      <c r="G404" t="inlineStr">
        <is>
          <t>2025-08-27</t>
        </is>
      </c>
    </row>
    <row r="405">
      <c r="A405" t="inlineStr">
        <is>
          <t>snm</t>
        </is>
      </c>
      <c r="B405" t="inlineStr">
        <is>
          <t>Q4 FY22</t>
        </is>
      </c>
      <c r="C405" t="inlineStr">
        <is>
          <t>2022-01-31</t>
        </is>
      </c>
      <c r="D405" t="n">
        <v>144263000</v>
      </c>
      <c r="E405" t="inlineStr">
        <is>
          <t>fy_minus_9m</t>
        </is>
      </c>
      <c r="F405" t="inlineStr">
        <is>
          <t>0001441816-24-000049 - 0001441816-22-000193</t>
        </is>
      </c>
      <c r="G405" t="inlineStr">
        <is>
          <t>2024-03-15</t>
        </is>
      </c>
    </row>
    <row r="406">
      <c r="A406" t="inlineStr">
        <is>
          <t>snm</t>
        </is>
      </c>
      <c r="B406" t="inlineStr">
        <is>
          <t>Q1 FY23</t>
        </is>
      </c>
      <c r="C406" t="inlineStr">
        <is>
          <t>2022-04-30</t>
        </is>
      </c>
      <c r="D406" t="n">
        <v>150268000</v>
      </c>
      <c r="E406" t="inlineStr">
        <is>
          <t>reported_3m</t>
        </is>
      </c>
      <c r="F406" t="inlineStr">
        <is>
          <t>0001441816-23-000087</t>
        </is>
      </c>
      <c r="G406" t="inlineStr">
        <is>
          <t>2023-06-02</t>
        </is>
      </c>
    </row>
    <row r="407">
      <c r="A407" t="inlineStr">
        <is>
          <t>snm</t>
        </is>
      </c>
      <c r="B407" t="inlineStr">
        <is>
          <t>Q2 FY23</t>
        </is>
      </c>
      <c r="C407" t="inlineStr">
        <is>
          <t>2022-07-31</t>
        </is>
      </c>
      <c r="D407" t="n">
        <v>181598000</v>
      </c>
      <c r="E407" t="inlineStr">
        <is>
          <t>reported_3m</t>
        </is>
      </c>
      <c r="F407" t="inlineStr">
        <is>
          <t>0001441816-23-000168</t>
        </is>
      </c>
      <c r="G407" t="inlineStr">
        <is>
          <t>2023-09-01</t>
        </is>
      </c>
    </row>
    <row r="408">
      <c r="A408" t="inlineStr">
        <is>
          <t>snm</t>
        </is>
      </c>
      <c r="B408" t="inlineStr">
        <is>
          <t>Q3 FY23</t>
        </is>
      </c>
      <c r="C408" t="inlineStr">
        <is>
          <t>2022-10-31</t>
        </is>
      </c>
      <c r="D408" t="n">
        <v>177419000</v>
      </c>
      <c r="E408" t="inlineStr">
        <is>
          <t>reported_3m</t>
        </is>
      </c>
      <c r="F408" t="inlineStr">
        <is>
          <t>0001441816-23-000248</t>
        </is>
      </c>
      <c r="G408" t="inlineStr">
        <is>
          <t>2023-12-07</t>
        </is>
      </c>
    </row>
    <row r="409">
      <c r="A409" t="inlineStr">
        <is>
          <t>snm</t>
        </is>
      </c>
      <c r="B409" t="inlineStr">
        <is>
          <t>Q4 FY23</t>
        </is>
      </c>
      <c r="C409" t="inlineStr">
        <is>
          <t>2023-01-31</t>
        </is>
      </c>
      <c r="D409" t="n">
        <v>189916000</v>
      </c>
      <c r="E409" t="inlineStr">
        <is>
          <t>fy_minus_9m</t>
        </is>
      </c>
      <c r="F409" t="inlineStr">
        <is>
          <t>0001441816-25-000057 - 0001441816-23-000248</t>
        </is>
      </c>
      <c r="G409" t="inlineStr">
        <is>
          <t>2025-03-21</t>
        </is>
      </c>
    </row>
    <row r="410">
      <c r="A410" t="inlineStr">
        <is>
          <t>snm</t>
        </is>
      </c>
      <c r="B410" t="inlineStr">
        <is>
          <t>Q1 FY24</t>
        </is>
      </c>
      <c r="C410" t="inlineStr">
        <is>
          <t>2023-04-30</t>
        </is>
      </c>
      <c r="D410" t="n">
        <v>182733000</v>
      </c>
      <c r="E410" t="inlineStr">
        <is>
          <t>reported_3m</t>
        </is>
      </c>
      <c r="F410" t="inlineStr">
        <is>
          <t>0001441816-24-000111</t>
        </is>
      </c>
      <c r="G410" t="inlineStr">
        <is>
          <t>2024-05-31</t>
        </is>
      </c>
    </row>
    <row r="411">
      <c r="A411" t="inlineStr">
        <is>
          <t>snm</t>
        </is>
      </c>
      <c r="B411" t="inlineStr">
        <is>
          <t>Q2 FY24</t>
        </is>
      </c>
      <c r="C411" t="inlineStr">
        <is>
          <t>2023-07-31</t>
        </is>
      </c>
      <c r="D411" t="n">
        <v>195934000</v>
      </c>
      <c r="E411" t="inlineStr">
        <is>
          <t>reported_3m</t>
        </is>
      </c>
      <c r="F411" t="inlineStr">
        <is>
          <t>0001441816-24-000188</t>
        </is>
      </c>
      <c r="G411" t="inlineStr">
        <is>
          <t>2024-08-30</t>
        </is>
      </c>
    </row>
    <row r="412">
      <c r="A412" t="inlineStr">
        <is>
          <t>snm</t>
        </is>
      </c>
      <c r="B412" t="inlineStr">
        <is>
          <t>Q3 FY24</t>
        </is>
      </c>
      <c r="C412" t="inlineStr">
        <is>
          <t>2023-10-31</t>
        </is>
      </c>
      <c r="D412" t="n">
        <v>192977000</v>
      </c>
      <c r="E412" t="inlineStr">
        <is>
          <t>reported_3m</t>
        </is>
      </c>
      <c r="F412" t="inlineStr">
        <is>
          <t>0001441816-24-000260</t>
        </is>
      </c>
      <c r="G412" t="inlineStr">
        <is>
          <t>2024-12-10</t>
        </is>
      </c>
    </row>
    <row r="413">
      <c r="A413" t="inlineStr">
        <is>
          <t>snm</t>
        </is>
      </c>
      <c r="B413" t="inlineStr">
        <is>
          <t>Q4 FY24</t>
        </is>
      </c>
      <c r="C413" t="inlineStr">
        <is>
          <t>2024-01-31</t>
        </is>
      </c>
      <c r="D413" t="n">
        <v>211116000</v>
      </c>
      <c r="E413" t="inlineStr">
        <is>
          <t>fy_minus_9m</t>
        </is>
      </c>
      <c r="F413" t="inlineStr">
        <is>
          <t>0001441816-25-000057 - 0001441816-24-000260</t>
        </is>
      </c>
      <c r="G413" t="inlineStr">
        <is>
          <t>2025-03-21</t>
        </is>
      </c>
    </row>
    <row r="414">
      <c r="A414" t="inlineStr">
        <is>
          <t>snm</t>
        </is>
      </c>
      <c r="B414" t="inlineStr">
        <is>
          <t>Q1 FY25</t>
        </is>
      </c>
      <c r="C414" t="inlineStr">
        <is>
          <t>2024-04-30</t>
        </is>
      </c>
      <c r="D414" t="n">
        <v>219444000</v>
      </c>
      <c r="E414" t="inlineStr">
        <is>
          <t>reported_3m</t>
        </is>
      </c>
      <c r="F414" t="inlineStr">
        <is>
          <t>0001441816-25-000118</t>
        </is>
      </c>
      <c r="G414" t="inlineStr">
        <is>
          <t>2025-06-04</t>
        </is>
      </c>
    </row>
    <row r="415">
      <c r="A415" t="inlineStr">
        <is>
          <t>snm</t>
        </is>
      </c>
      <c r="B415" t="inlineStr">
        <is>
          <t>Q2 FY25</t>
        </is>
      </c>
      <c r="C415" t="inlineStr">
        <is>
          <t>2024-07-31</t>
        </is>
      </c>
      <c r="D415" t="n">
        <v>221539000</v>
      </c>
      <c r="E415" t="inlineStr">
        <is>
          <t>reported_3m</t>
        </is>
      </c>
      <c r="F415" t="inlineStr">
        <is>
          <t>0001441816-25-000181</t>
        </is>
      </c>
      <c r="G415" t="inlineStr">
        <is>
          <t>2025-08-27</t>
        </is>
      </c>
    </row>
    <row r="416">
      <c r="A416" t="inlineStr">
        <is>
          <t>snm</t>
        </is>
      </c>
      <c r="B416" t="inlineStr">
        <is>
          <t>Q3 FY25</t>
        </is>
      </c>
      <c r="C416" t="inlineStr">
        <is>
          <t>2024-10-31</t>
        </is>
      </c>
      <c r="D416" t="n">
        <v>217954000</v>
      </c>
      <c r="E416" t="inlineStr">
        <is>
          <t>reported_3m</t>
        </is>
      </c>
      <c r="F416" t="inlineStr">
        <is>
          <t>0001441816-24-000260</t>
        </is>
      </c>
      <c r="G416" t="inlineStr">
        <is>
          <t>2024-12-10</t>
        </is>
      </c>
    </row>
    <row r="417">
      <c r="A417" t="inlineStr">
        <is>
          <t>snm</t>
        </is>
      </c>
      <c r="B417" t="inlineStr">
        <is>
          <t>Q4 FY25</t>
        </is>
      </c>
      <c r="C417" t="inlineStr">
        <is>
          <t>2025-01-31</t>
        </is>
      </c>
      <c r="D417" t="n">
        <v>212211000</v>
      </c>
      <c r="E417" t="inlineStr">
        <is>
          <t>fy_minus_9m</t>
        </is>
      </c>
      <c r="F417" t="inlineStr">
        <is>
          <t>0001441816-25-000057 - 0001441816-24-000260</t>
        </is>
      </c>
      <c r="G417" t="inlineStr">
        <is>
          <t>2025-03-21</t>
        </is>
      </c>
    </row>
    <row r="418">
      <c r="A418" t="inlineStr">
        <is>
          <t>snm</t>
        </is>
      </c>
      <c r="B418" t="inlineStr">
        <is>
          <t>Q1 FY26</t>
        </is>
      </c>
      <c r="C418" t="inlineStr">
        <is>
          <t>2025-04-30</t>
        </is>
      </c>
      <c r="D418" t="n">
        <v>220923000</v>
      </c>
      <c r="E418" t="inlineStr">
        <is>
          <t>reported_3m</t>
        </is>
      </c>
      <c r="F418" t="inlineStr">
        <is>
          <t>0001441816-25-000118</t>
        </is>
      </c>
      <c r="G418" t="inlineStr">
        <is>
          <t>2025-06-04</t>
        </is>
      </c>
    </row>
    <row r="419">
      <c r="A419" t="inlineStr">
        <is>
          <t>snm</t>
        </is>
      </c>
      <c r="B419" t="inlineStr">
        <is>
          <t>Q2 FY26</t>
        </is>
      </c>
      <c r="C419" t="inlineStr">
        <is>
          <t>2025-07-31</t>
        </is>
      </c>
      <c r="D419" t="n">
        <v>244065000</v>
      </c>
      <c r="E419" t="inlineStr">
        <is>
          <t>reported_3m</t>
        </is>
      </c>
      <c r="F419" t="inlineStr">
        <is>
          <t>0001441816-25-000181</t>
        </is>
      </c>
      <c r="G419" t="inlineStr">
        <is>
          <t>2025-08-27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2026-10-16T15:58:38Z</dcterms:created>
  <dcterms:modified xsi:type="dcterms:W3CDTF">2026-10-16T15:58:38Z</dcterms:modified>
</cp:coreProperties>
</file>